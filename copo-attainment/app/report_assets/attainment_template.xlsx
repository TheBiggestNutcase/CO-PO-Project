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structions" sheetId="1" r:id="rId4"/>
    <sheet state="visible" name="set target form" sheetId="2" r:id="rId5"/>
    <sheet state="visible" name="IA Test only" sheetId="3" r:id="rId6"/>
    <sheet state="visible" name="ASQM only" sheetId="4" r:id="rId7"/>
    <sheet state="visible" name="External" sheetId="5" r:id="rId8"/>
    <sheet state="hidden" name="Result Analysis" sheetId="6" r:id="rId9"/>
    <sheet state="visible" name="Exit survey" sheetId="7" r:id="rId10"/>
    <sheet state="visible" name="CO attainment" sheetId="8" r:id="rId11"/>
    <sheet state="visible" name="Course PO attainment" sheetId="9" r:id="rId12"/>
    <sheet state="visible" name="CO attainment gap" sheetId="10" r:id="rId13"/>
    <sheet state="hidden" name="Course PO attainment gap" sheetId="11" r:id="rId14"/>
  </sheets>
  <definedNames>
    <definedName localSheetId="1" name="OLE_LINK1">#REF!</definedName>
    <definedName localSheetId="1" name="OLE_LINK4">#REF!</definedName>
  </definedNames>
  <calcPr/>
  <extLst>
    <ext uri="GoogleSheetsCustomDataVersion2">
      <go:sheetsCustomData xmlns:go="http://customooxmlschemas.google.com/" r:id="rId15" roundtripDataChecksum="cG5s1ONClTszu4JAqtVwv1qBmPn87J69QzFh5x1w2hE="/>
    </ext>
  </extLst>
</workbook>
</file>

<file path=xl/sharedStrings.xml><?xml version="1.0" encoding="utf-8"?>
<sst xmlns="http://schemas.openxmlformats.org/spreadsheetml/2006/main" count="453" uniqueCount="240">
  <si>
    <r>
      <rPr>
        <rFont val="Times New Roman"/>
        <b/>
        <color theme="1"/>
        <sz val="20.0"/>
      </rPr>
      <t xml:space="preserve">Theory attainment calculation </t>
    </r>
    <r>
      <rPr>
        <rFont val="Times New Roman"/>
        <b/>
        <color theme="1"/>
        <sz val="14.0"/>
      </rPr>
      <t>(Updated Nov 2022)</t>
    </r>
  </si>
  <si>
    <t>Sheet</t>
  </si>
  <si>
    <t>Details to be entered</t>
  </si>
  <si>
    <t>Cells shown in colours only needs to be filled with required details. Don’t modify other cells contents in all the sheets</t>
  </si>
  <si>
    <t>Set target form</t>
  </si>
  <si>
    <t>Target for Continuous Internal Evaluation(CIE), Semester End Examination (SEE) and exit survey.</t>
  </si>
  <si>
    <t>Enter subject details and CO numbers</t>
  </si>
  <si>
    <t>Internal</t>
  </si>
  <si>
    <t>Depends on number of subdivisions in each question, insert required number of columns in every IA test.</t>
  </si>
  <si>
    <t>1. Student USN and name</t>
  </si>
  <si>
    <t>2. Enter CO numbers of the question as 1,2, etc. If a question is mapped more than one CO use both the Rows mentioned as</t>
  </si>
  <si>
    <t>Cijk.m</t>
  </si>
  <si>
    <t>3. Max marks allotted to each questions</t>
  </si>
  <si>
    <t>4. Marks scored by each students in IA1, IA2 and IA3</t>
  </si>
  <si>
    <t>5. If student is absent or scored zero mark, don’t enter anything</t>
  </si>
  <si>
    <t>5 mark assessment tool</t>
  </si>
  <si>
    <t>1. Enter CO numbers of the question as 1,2, etc. If a question is mapped more than one CO use both the Rows mentioned as</t>
  </si>
  <si>
    <t>2. Max marks allotted to each questions</t>
  </si>
  <si>
    <t>SEE</t>
  </si>
  <si>
    <t xml:space="preserve">1. Enter student wise Total marks(SEE marks) and IA marks </t>
  </si>
  <si>
    <t>2. Delete the left out rows</t>
  </si>
  <si>
    <t xml:space="preserve">3. If grade is there , enter maxmarks assigned to that grade in total mark column as shown in table </t>
  </si>
  <si>
    <t>Exit survey</t>
  </si>
  <si>
    <t>1.Down load from pupilpod given by students</t>
  </si>
  <si>
    <t>2. CO numbers Ex 202.1 , 202.2 etc</t>
  </si>
  <si>
    <t>3. Paste downloaded exit survey details student wise</t>
  </si>
  <si>
    <t>4. Fill Exit survey to CO mapping table. If mapped enter '1' else don’t enter anything</t>
  </si>
  <si>
    <t xml:space="preserve">CO attainment </t>
  </si>
  <si>
    <t>nil</t>
  </si>
  <si>
    <t xml:space="preserve">Course PO attainment </t>
  </si>
  <si>
    <t xml:space="preserve">1. - In "PO-PSO attainment in % " table   which is available in "Course PO attainment sheet"; wherver CO is not mapped to PO remove the formula and put "-"  </t>
  </si>
  <si>
    <t>CO attainment gap</t>
  </si>
  <si>
    <t>CAYm1 CO attainment - Refer previous academic year attainment sheet</t>
  </si>
  <si>
    <t xml:space="preserve">Action proposed if gap identified. </t>
  </si>
  <si>
    <t>PO attainment gap</t>
  </si>
  <si>
    <t>CAYm1 PO attainment</t>
  </si>
  <si>
    <t>Action proposed if gap identified</t>
  </si>
  <si>
    <t xml:space="preserve">All the sheets are provided with maximum students strength of 200. </t>
  </si>
  <si>
    <t>enter student details of class strength and  remaining student details rows leave empty</t>
  </si>
  <si>
    <t xml:space="preserve">Refer CO attainment sheet, Course Po attainment sheet, CO attainment gap sheet and PO attainment gap to get </t>
  </si>
  <si>
    <t>1. CO attainment</t>
  </si>
  <si>
    <t>2. Course PO attainment</t>
  </si>
  <si>
    <t>3. CO attainment gap</t>
  </si>
  <si>
    <t>4. PO attainment gap</t>
  </si>
  <si>
    <t>AMC ENGINEERING COLLEGE</t>
  </si>
  <si>
    <t>DEPARTMENT OF PHYSICS</t>
  </si>
  <si>
    <t>CIE,SEE and Exit survey attainment levels and target</t>
  </si>
  <si>
    <t xml:space="preserve">Sub code: </t>
  </si>
  <si>
    <t>21PHY22</t>
  </si>
  <si>
    <t>Sub name:</t>
  </si>
  <si>
    <t>ENGINEERING PHYSICS</t>
  </si>
  <si>
    <t>Names of Faculty handled:</t>
  </si>
  <si>
    <t>Nithin H M</t>
  </si>
  <si>
    <t>Academic Year:</t>
  </si>
  <si>
    <t>2021-22</t>
  </si>
  <si>
    <t>Sem :</t>
  </si>
  <si>
    <t>II</t>
  </si>
  <si>
    <t>CO Number:</t>
  </si>
  <si>
    <t>CO1</t>
  </si>
  <si>
    <t>CO2</t>
  </si>
  <si>
    <t>CO3</t>
  </si>
  <si>
    <t>CO4</t>
  </si>
  <si>
    <t>CO5</t>
  </si>
  <si>
    <t>Attainment Levels</t>
  </si>
  <si>
    <t>Target</t>
  </si>
  <si>
    <t>External</t>
  </si>
  <si>
    <t xml:space="preserve">% of students </t>
  </si>
  <si>
    <t>% of marks</t>
  </si>
  <si>
    <t>Level 1</t>
  </si>
  <si>
    <t>class average</t>
  </si>
  <si>
    <t>A &amp; B</t>
  </si>
  <si>
    <t>Level 2</t>
  </si>
  <si>
    <t>Level 3</t>
  </si>
  <si>
    <t>Set Targets for Cos</t>
  </si>
  <si>
    <t>Level</t>
  </si>
  <si>
    <t>External-2010 scheme</t>
  </si>
  <si>
    <t>Course Exit Survey</t>
  </si>
  <si>
    <t>50% students should have scored &gt;= 60%  [in IA]</t>
  </si>
  <si>
    <t>50% students should have scored &gt;= X</t>
  </si>
  <si>
    <t>50% students should have rated Good and above</t>
  </si>
  <si>
    <t>60% students should have scored &gt;= 60%  [in IA]</t>
  </si>
  <si>
    <t>60% students should have scored &gt;= X</t>
  </si>
  <si>
    <t xml:space="preserve"> 60% students should have rated Good and above</t>
  </si>
  <si>
    <t>70% students should have scored &gt;= 60%  [in IA]</t>
  </si>
  <si>
    <t xml:space="preserve"> 70% students should have scored &gt;= X</t>
  </si>
  <si>
    <t>70% students should have rated Good and above</t>
  </si>
  <si>
    <t>X - University average</t>
  </si>
  <si>
    <t>INTERNAL - I, II &amp; III marks</t>
  </si>
  <si>
    <t>CO ATTAINMENT - INTERNAL</t>
  </si>
  <si>
    <t>Cijk</t>
  </si>
  <si>
    <t>Max Marks</t>
  </si>
  <si>
    <t>Test 1</t>
  </si>
  <si>
    <t>Test 2</t>
  </si>
  <si>
    <t>Test 3</t>
  </si>
  <si>
    <t>Sl.No.</t>
  </si>
  <si>
    <t>USN</t>
  </si>
  <si>
    <t>Name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</si>
  <si>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</si>
  <si>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</si>
  <si>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</si>
  <si>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</si>
  <si>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</si>
  <si>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</si>
  <si>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</si>
  <si>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</si>
  <si>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</si>
  <si>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</si>
  <si>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</si>
  <si>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</si>
  <si>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</si>
  <si>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</si>
  <si>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6A</t>
  </si>
  <si>
    <t>6B</t>
  </si>
  <si>
    <t xml:space="preserve">scored </t>
  </si>
  <si>
    <t>alotted</t>
  </si>
  <si>
    <t>%</t>
  </si>
  <si>
    <t>Number of student attended the CO questions</t>
  </si>
  <si>
    <t>Number of student scored 60 and above</t>
  </si>
  <si>
    <t xml:space="preserve">CO ATTAINMENT IN PERENTAGE               (% of students scored above  set  % of marks) </t>
  </si>
  <si>
    <t>Distribution of CO % in Internals</t>
  </si>
  <si>
    <t>IA No.</t>
  </si>
  <si>
    <t>IA-1</t>
  </si>
  <si>
    <t>IA-2</t>
  </si>
  <si>
    <t>IA-3</t>
  </si>
  <si>
    <t>Assignment/Quiz/Mini project/Unit test/Seminar - I, II &amp; III marks</t>
  </si>
  <si>
    <t>Assignment 1</t>
  </si>
  <si>
    <t>Assignment 2</t>
  </si>
  <si>
    <t>Seminar/Quiz/Mini project</t>
  </si>
  <si>
    <t>Number of student scored cutoff% and above</t>
  </si>
  <si>
    <t xml:space="preserve">CO ATTAINMENT IN PERENTAGE               (% of students scored above set % of marks) </t>
  </si>
  <si>
    <t>Distribution of CO % in assessment tools</t>
  </si>
  <si>
    <t>Tools</t>
  </si>
  <si>
    <t>CO ATTAINMENT - EXTERNAL</t>
  </si>
  <si>
    <t>Sl.No</t>
  </si>
  <si>
    <t xml:space="preserve">USN </t>
  </si>
  <si>
    <t>Name of Student</t>
  </si>
  <si>
    <t>Total</t>
  </si>
  <si>
    <t>Result</t>
  </si>
  <si>
    <t xml:space="preserve">Equal Contribution of External to all COs </t>
  </si>
  <si>
    <t>Total number of students</t>
  </si>
  <si>
    <t>Branch average (of external only)</t>
  </si>
  <si>
    <t>No. of students above class average</t>
  </si>
  <si>
    <t xml:space="preserve">CO ATTAINMENT IN PERENTAGE (% of students scored above set % of marks) </t>
  </si>
  <si>
    <t>No. Appeared</t>
  </si>
  <si>
    <t>No. Absent</t>
  </si>
  <si>
    <t>No. Pass</t>
  </si>
  <si>
    <t>No. Fail</t>
  </si>
  <si>
    <t>Pass %</t>
  </si>
  <si>
    <t>I</t>
  </si>
  <si>
    <t>III</t>
  </si>
  <si>
    <t>Assessment Tool</t>
  </si>
  <si>
    <t>S.No</t>
  </si>
  <si>
    <t>Assignment/ Written Quiz/ Mini project/ Seminar/ Demonstration of concept</t>
  </si>
  <si>
    <t>COMPARISON University Examination</t>
  </si>
  <si>
    <t>Academic Year</t>
  </si>
  <si>
    <t xml:space="preserve">if CAY = </t>
  </si>
  <si>
    <t>2011-12</t>
  </si>
  <si>
    <t>2012-13</t>
  </si>
  <si>
    <t>2013-14</t>
  </si>
  <si>
    <t>2014-15</t>
  </si>
  <si>
    <t>2015-16</t>
  </si>
  <si>
    <t>2016-17</t>
  </si>
  <si>
    <t>CAY - 21-22</t>
  </si>
  <si>
    <t>CAYm1 =</t>
  </si>
  <si>
    <t>NA</t>
  </si>
  <si>
    <t>CAYM1 - 20-21</t>
  </si>
  <si>
    <t>CAYm2 =</t>
  </si>
  <si>
    <t>CAYM2 - 19-20</t>
  </si>
  <si>
    <t>CO ATTAINMENT - COURSE EXIT SURVEY</t>
  </si>
  <si>
    <t>Sl No</t>
  </si>
  <si>
    <t>Student Name</t>
  </si>
  <si>
    <t xml:space="preserve">Q1 </t>
  </si>
  <si>
    <t>Q2</t>
  </si>
  <si>
    <t>Q3</t>
  </si>
  <si>
    <t>Q4</t>
  </si>
  <si>
    <t xml:space="preserve">Q5  </t>
  </si>
  <si>
    <t xml:space="preserve">No of students who entered option 'A' or 'B' </t>
  </si>
  <si>
    <t>No of students who have given exit survey</t>
  </si>
  <si>
    <t>% of students who entered A or B</t>
  </si>
  <si>
    <t>CO to Exit survey question mapping</t>
  </si>
  <si>
    <t>Q1</t>
  </si>
  <si>
    <t>Q5</t>
  </si>
  <si>
    <t xml:space="preserve">CO ATTAINMENT IN PERENTAGE  (Average Percentage of students given A and B) </t>
  </si>
  <si>
    <t xml:space="preserve"> CO ATTAINMENT in levels</t>
  </si>
  <si>
    <t xml:space="preserve">Cijk CO ATTAINMENT </t>
  </si>
  <si>
    <t xml:space="preserve">CO Attainment in Percentage </t>
  </si>
  <si>
    <t>CO</t>
  </si>
  <si>
    <t>A1 = IA-Test Attainment  in %</t>
  </si>
  <si>
    <r>
      <rPr>
        <rFont val="Times New Roman"/>
        <b/>
        <color rgb="FF000000"/>
        <sz val="10.0"/>
      </rPr>
      <t>A2: Self study (Assignment, Seminar, etc.) Attainment  in %</t>
    </r>
    <r>
      <rPr>
        <rFont val="Times New Roman"/>
        <b val="0"/>
        <color rgb="FF000000"/>
        <sz val="10.0"/>
      </rPr>
      <t xml:space="preserve"> </t>
    </r>
  </si>
  <si>
    <t>A = CIA Attainment</t>
  </si>
  <si>
    <t>B =SEE Attainment</t>
  </si>
  <si>
    <t>C = Exit Survey Attainment  level</t>
  </si>
  <si>
    <r>
      <rPr>
        <rFont val="Times New Roman"/>
        <b/>
        <color rgb="FF000000"/>
        <sz val="10.0"/>
      </rPr>
      <t xml:space="preserve"> D=50% of </t>
    </r>
    <r>
      <rPr>
        <rFont val="Times New Roman"/>
        <b val="0"/>
        <color rgb="FF000000"/>
        <sz val="10.0"/>
      </rPr>
      <t xml:space="preserve"> CIA</t>
    </r>
  </si>
  <si>
    <t>E = 50% of SEE</t>
  </si>
  <si>
    <t xml:space="preserve">F = D+E Attainment </t>
  </si>
  <si>
    <r>
      <rPr>
        <rFont val="Times New Roman"/>
        <b/>
        <color rgb="FF000000"/>
        <sz val="10.0"/>
      </rPr>
      <t>G= 90%  of F</t>
    </r>
    <r>
      <rPr>
        <rFont val="Times New Roman"/>
        <b val="0"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</si>
  <si>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>H= 10% of C</t>
    </r>
    <r>
      <rPr>
        <rFont val="Times New Roman"/>
        <b val="0"/>
        <color rgb="FF000000"/>
        <sz val="10.0"/>
      </rPr>
      <t xml:space="preserve"> </t>
    </r>
  </si>
  <si>
    <t xml:space="preserve"> CO Attainment  = G+H (in percentage)</t>
  </si>
  <si>
    <t xml:space="preserve"> CO Attainment (in level)</t>
  </si>
  <si>
    <t xml:space="preserve">Course PO ATTAINMENT </t>
  </si>
  <si>
    <t>CO - PO/PSO Mapping</t>
  </si>
  <si>
    <t xml:space="preserve">CO  </t>
  </si>
  <si>
    <t>CO attainment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</si>
  <si>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</si>
  <si>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</si>
  <si>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</si>
  <si>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</si>
  <si>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</si>
  <si>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</si>
  <si>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</si>
  <si>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</si>
  <si>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</si>
  <si>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</si>
  <si>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</si>
  <si>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</si>
  <si>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</si>
  <si>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</si>
  <si>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 xml:space="preserve"> course PO attainment</t>
  </si>
  <si>
    <t>CO ATTAINMENT GAP</t>
  </si>
  <si>
    <t>CO ATTAINMENT GAP (Internal contributes equally to all CO)</t>
  </si>
  <si>
    <r>
      <rPr>
        <rFont val="Times New Roman"/>
        <b/>
        <color rgb="FF000000"/>
        <sz val="12.0"/>
      </rPr>
      <t>CO.</t>
    </r>
    <r>
      <rPr>
        <rFont val="Times New Roman"/>
        <b/>
        <color rgb="FF000000"/>
        <sz val="12.0"/>
      </rPr>
      <t xml:space="preserve"> No</t>
    </r>
  </si>
  <si>
    <t>Target Level</t>
  </si>
  <si>
    <t>CO Attainment</t>
  </si>
  <si>
    <t>CO Attainment Gap</t>
  </si>
  <si>
    <t>Action Proposed</t>
  </si>
  <si>
    <r>
      <rPr>
        <rFont val="Times New Roman"/>
        <b/>
        <color rgb="FF000000"/>
        <sz val="12.0"/>
      </rPr>
      <t>CO.</t>
    </r>
    <r>
      <rPr>
        <rFont val="Times New Roman"/>
        <b val="0"/>
        <color rgb="FF000000"/>
        <sz val="12.0"/>
      </rPr>
      <t xml:space="preserve"> No</t>
    </r>
  </si>
  <si>
    <t>CO  attainment in %</t>
  </si>
  <si>
    <t xml:space="preserve">CO Attainment Gap in %      </t>
  </si>
  <si>
    <t>CAYm1:                                   20ab - 20cd</t>
  </si>
  <si>
    <t>CAY:                       20cd - 20xy</t>
  </si>
  <si>
    <t>Cijk PO ATTAINMENT GAP</t>
  </si>
  <si>
    <t>Cijk PO ATTAINMENT GAP (Internal contributes equally to all CO)</t>
  </si>
  <si>
    <t>PO</t>
  </si>
  <si>
    <t>CAYm1:                              2020 - 2021</t>
  </si>
  <si>
    <t>CAY:                        2021 - 2022</t>
  </si>
  <si>
    <t xml:space="preserve">PO Attainment Gap in %      </t>
  </si>
  <si>
    <t>CAYm1:                              20ab - 20cd</t>
  </si>
  <si>
    <t>CAY:                        20cd - 20xy</t>
  </si>
  <si>
    <t>Total POs</t>
  </si>
  <si>
    <t>Total PSOs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</si>
</sst>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3">
    <font>
      <sz val="11.0"/>
      <color theme="1"/>
      <name val="Calibri"/>
      <scheme val="minor"/>
    </font>
    <font>
      <b/>
      <sz val="20.0"/>
      <color theme="1"/>
      <name val="Times New Roman"/>
    </font>
    <font/>
    <font>
      <b/>
      <sz val="20.0"/>
      <color rgb="FFFF0000"/>
      <name val="Times New Roman"/>
    </font>
    <font>
      <b/>
      <sz val="12.0"/>
      <color theme="1"/>
      <name val="Times New Roman"/>
    </font>
    <font>
      <b/>
      <sz val="11.0"/>
      <color theme="1"/>
      <name val="Calibri"/>
    </font>
    <font>
      <sz val="14.0"/>
      <color theme="1"/>
      <name val="Times New Roman"/>
    </font>
    <font>
      <sz val="16.0"/>
      <color theme="1"/>
      <name val="Times New Roman"/>
    </font>
    <font>
      <b/>
      <sz val="10.0"/>
      <color theme="1"/>
      <name val="Times New Roman"/>
    </font>
    <font>
      <b/>
      <sz val="14.0"/>
      <color theme="1"/>
      <name val="Times New Roman"/>
    </font>
    <font>
      <sz val="14.0"/>
      <color theme="1"/>
      <name val="Calibri"/>
    </font>
    <font>
      <b/>
      <sz val="18.0"/>
      <color theme="1"/>
      <name val="Times New Roman"/>
    </font>
    <font>
      <sz val="16.0"/>
      <color theme="1"/>
      <name val="Calibri"/>
    </font>
    <font>
      <sz val="11.0"/>
      <color theme="1"/>
      <name val="Calibri"/>
    </font>
    <font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22.0"/>
      <color theme="1"/>
      <name val="Times New Roman"/>
    </font>
    <font>
      <sz val="11.0"/>
      <color rgb="FFE36C09"/>
      <name val="Calibri"/>
    </font>
    <font>
      <sz val="11.0"/>
      <color rgb="FF548DD4"/>
      <name val="Calibri"/>
    </font>
    <font>
      <sz val="11.0"/>
      <color rgb="FF000000"/>
      <name val="Calibri"/>
    </font>
    <font>
      <sz val="11.0"/>
      <color theme="1"/>
      <name val="Times New Roman"/>
    </font>
    <font>
      <sz val="26.0"/>
      <color theme="1"/>
      <name val="Times New Roman"/>
    </font>
    <font>
      <sz val="18.0"/>
      <color theme="1"/>
      <name val="Times New Roman"/>
    </font>
    <font>
      <sz val="20.0"/>
      <color theme="1"/>
      <name val="Times New Roman"/>
    </font>
    <font>
      <sz val="11.0"/>
      <color rgb="FFE26B0A"/>
      <name val="Calibri"/>
    </font>
    <font>
      <b/>
      <sz val="11.0"/>
      <color rgb="FF000000"/>
      <name val="Calibri"/>
    </font>
    <font>
      <sz val="11.0"/>
      <color theme="1"/>
      <name val="Arial"/>
    </font>
    <font>
      <b/>
      <sz val="14.0"/>
      <color rgb="FF000000"/>
      <name val="Calibri"/>
    </font>
    <font>
      <b/>
      <sz val="16.0"/>
      <color theme="1"/>
      <name val="Times New Roman"/>
    </font>
    <font>
      <b/>
      <sz val="11.0"/>
      <color theme="1"/>
      <name val="Times New Roman"/>
    </font>
    <font>
      <sz val="10.0"/>
      <color rgb="FF000000"/>
      <name val="Calibri"/>
    </font>
    <font>
      <b/>
      <sz val="20.0"/>
      <color theme="1"/>
      <name val="Calibri"/>
    </font>
    <font>
      <sz val="16.0"/>
      <color rgb="FF000000"/>
      <name val="Times New Roman"/>
    </font>
    <font>
      <sz val="18.0"/>
      <color rgb="FF000000"/>
      <name val="Times New Roman"/>
    </font>
    <font>
      <b/>
      <sz val="24.0"/>
      <color theme="1"/>
      <name val="Calibri"/>
    </font>
    <font>
      <sz val="11.0"/>
      <color rgb="FF000000"/>
      <name val="Times New Roman"/>
    </font>
    <font>
      <b/>
      <sz val="10.0"/>
      <color theme="1"/>
      <name val="Calibri"/>
    </font>
    <font>
      <b/>
      <sz val="16.0"/>
      <color theme="1"/>
      <name val="Calibri"/>
    </font>
    <font>
      <b/>
      <sz val="12.0"/>
      <color rgb="FF000000"/>
      <name val="Calibri"/>
    </font>
    <font>
      <sz val="14.0"/>
      <color rgb="FF000000"/>
      <name val="Times New Roman"/>
    </font>
    <font>
      <b/>
      <sz val="24.0"/>
      <color rgb="FF000000"/>
      <name val="Calibri"/>
    </font>
    <font>
      <sz val="12.0"/>
      <color theme="1"/>
      <name val="Calibri"/>
    </font>
    <font>
      <b/>
      <sz val="10.0"/>
      <color rgb="FF000000"/>
      <name val="Times New Roman"/>
    </font>
    <font>
      <sz val="10.0"/>
      <color rgb="FF000000"/>
      <name val="Times New Roman"/>
    </font>
    <font>
      <b/>
      <sz val="12.0"/>
      <color theme="1"/>
      <name val="Calibri"/>
    </font>
    <font>
      <b/>
      <sz val="14.0"/>
      <color theme="1"/>
      <name val="Calibri"/>
    </font>
    <font>
      <b/>
      <sz val="14.0"/>
      <color rgb="FF00000A"/>
      <name val="Calibri"/>
    </font>
    <font>
      <sz val="12.0"/>
      <color theme="1"/>
      <name val="&quot;Times New Roman&quot;"/>
    </font>
    <font>
      <sz val="18.0"/>
      <color theme="1"/>
      <name val="Calibri"/>
    </font>
    <font>
      <sz val="14.0"/>
      <color rgb="FF00000A"/>
      <name val="Calibri"/>
    </font>
    <font>
      <b/>
      <sz val="12.0"/>
      <color theme="1"/>
      <name val="&quot;Times New Roman&quot;"/>
    </font>
    <font>
      <color theme="1"/>
      <name val="&quot;Times New Roman&quot;"/>
    </font>
  </fonts>
  <fills count="18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2DCDB"/>
        <bgColor rgb="FFF2DCDB"/>
      </patternFill>
    </fill>
    <fill>
      <patternFill patternType="solid">
        <fgColor rgb="FFC5D9F1"/>
        <bgColor rgb="FFC5D9F1"/>
      </patternFill>
    </fill>
    <fill>
      <patternFill patternType="solid">
        <fgColor rgb="FFE5DFEC"/>
        <bgColor rgb="FFE5DFEC"/>
      </patternFill>
    </fill>
    <fill>
      <patternFill patternType="solid">
        <fgColor rgb="FFFFFF66"/>
        <bgColor rgb="FFFFFF66"/>
      </patternFill>
    </fill>
    <fill>
      <patternFill patternType="solid">
        <fgColor rgb="FFD6E3BC"/>
        <bgColor rgb="FFD6E3BC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</fills>
  <borders count="7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/>
      <top/>
    </border>
    <border>
      <right/>
      <top/>
    </border>
    <border>
      <left/>
      <bottom/>
    </border>
    <border>
      <right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top/>
      <bottom/>
    </border>
  </borders>
  <cellStyleXfs count="1">
    <xf borderId="0" fillId="0" fontId="0" numFmtId="0" applyAlignment="1" applyFont="1"/>
  </cellStyleXfs>
  <cellXfs count="3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3" fillId="0" fontId="4" numFmtId="0" xfId="0" applyBorder="1" applyFont="1"/>
    <xf borderId="0" fillId="0" fontId="4" numFmtId="0" xfId="0" applyFont="1"/>
    <xf borderId="3" fillId="3" fontId="4" numFmtId="0" xfId="0" applyBorder="1" applyFill="1" applyFont="1"/>
    <xf borderId="3" fillId="0" fontId="5" numFmtId="0" xfId="0" applyBorder="1" applyFont="1"/>
    <xf borderId="3" fillId="0" fontId="4" numFmtId="0" xfId="0" applyAlignment="1" applyBorder="1" applyFont="1">
      <alignment horizontal="left"/>
    </xf>
    <xf borderId="4" fillId="0" fontId="4" numFmtId="0" xfId="0" applyAlignment="1" applyBorder="1" applyFont="1">
      <alignment vertical="top"/>
    </xf>
    <xf borderId="4" fillId="0" fontId="4" numFmtId="0" xfId="0" applyBorder="1" applyFont="1"/>
    <xf borderId="5" fillId="0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vertical="top"/>
    </xf>
    <xf borderId="4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left" vertical="top"/>
    </xf>
    <xf borderId="5" fillId="0" fontId="2" numFmtId="0" xfId="0" applyBorder="1" applyFont="1"/>
    <xf borderId="3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 vertical="top"/>
    </xf>
    <xf borderId="6" fillId="4" fontId="6" numFmtId="0" xfId="0" applyAlignment="1" applyBorder="1" applyFill="1" applyFont="1">
      <alignment horizontal="center"/>
    </xf>
    <xf borderId="7" fillId="0" fontId="2" numFmtId="0" xfId="0" applyBorder="1" applyFont="1"/>
    <xf borderId="8" fillId="5" fontId="7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5" fontId="7" numFmtId="0" xfId="0" applyBorder="1" applyFont="1"/>
    <xf borderId="0" fillId="0" fontId="8" numFmtId="0" xfId="0" applyAlignment="1" applyFont="1">
      <alignment horizontal="center" shrinkToFit="0" vertical="top" wrapText="1"/>
    </xf>
    <xf borderId="0" fillId="0" fontId="9" numFmtId="0" xfId="0" applyAlignment="1" applyFont="1">
      <alignment horizontal="center" shrinkToFit="0" vertical="top" wrapText="1"/>
    </xf>
    <xf borderId="13" fillId="0" fontId="9" numFmtId="0" xfId="0" applyBorder="1" applyFont="1"/>
    <xf borderId="13" fillId="4" fontId="9" numFmtId="0" xfId="0" applyBorder="1" applyFont="1"/>
    <xf borderId="14" fillId="0" fontId="9" numFmtId="0" xfId="0" applyBorder="1" applyFont="1"/>
    <xf borderId="15" fillId="0" fontId="10" numFmtId="0" xfId="0" applyAlignment="1" applyBorder="1" applyFont="1">
      <alignment shrinkToFit="0" vertical="center" wrapText="1"/>
    </xf>
    <xf borderId="16" fillId="0" fontId="10" numFmtId="0" xfId="0" applyAlignment="1" applyBorder="1" applyFont="1">
      <alignment shrinkToFit="0" vertical="center" wrapText="1"/>
    </xf>
    <xf borderId="17" fillId="0" fontId="9" numFmtId="0" xfId="0" applyAlignment="1" applyBorder="1" applyFont="1">
      <alignment horizontal="left" vertical="top"/>
    </xf>
    <xf borderId="18" fillId="0" fontId="2" numFmtId="0" xfId="0" applyBorder="1" applyFont="1"/>
    <xf borderId="19" fillId="0" fontId="2" numFmtId="0" xfId="0" applyBorder="1" applyFont="1"/>
    <xf borderId="13" fillId="4" fontId="9" numFmtId="0" xfId="0" applyAlignment="1" applyBorder="1" applyFont="1">
      <alignment readingOrder="0"/>
    </xf>
    <xf borderId="18" fillId="0" fontId="9" numFmtId="0" xfId="0" applyBorder="1" applyFont="1"/>
    <xf borderId="19" fillId="0" fontId="9" numFmtId="0" xfId="0" applyBorder="1" applyFont="1"/>
    <xf borderId="20" fillId="0" fontId="9" numFmtId="0" xfId="0" applyBorder="1" applyFont="1"/>
    <xf borderId="21" fillId="0" fontId="9" numFmtId="0" xfId="0" applyBorder="1" applyFont="1"/>
    <xf borderId="22" fillId="0" fontId="11" numFmtId="0" xfId="0" applyAlignment="1" applyBorder="1" applyFont="1">
      <alignment vertical="top"/>
    </xf>
    <xf borderId="23" fillId="0" fontId="11" numFmtId="0" xfId="0" applyAlignment="1" applyBorder="1" applyFont="1">
      <alignment vertical="top"/>
    </xf>
    <xf borderId="0" fillId="0" fontId="12" numFmtId="0" xfId="0" applyFont="1"/>
    <xf borderId="3" fillId="0" fontId="13" numFmtId="0" xfId="0" applyBorder="1" applyFont="1"/>
    <xf borderId="3" fillId="6" fontId="13" numFmtId="0" xfId="0" applyBorder="1" applyFill="1" applyFont="1"/>
    <xf borderId="24" fillId="0" fontId="13" numFmtId="0" xfId="0" applyAlignment="1" applyBorder="1" applyFont="1">
      <alignment horizontal="center"/>
    </xf>
    <xf borderId="25" fillId="0" fontId="13" numFmtId="0" xfId="0" applyAlignment="1" applyBorder="1" applyFont="1">
      <alignment horizontal="center"/>
    </xf>
    <xf borderId="15" fillId="0" fontId="2" numFmtId="0" xfId="0" applyBorder="1" applyFont="1"/>
    <xf borderId="16" fillId="0" fontId="2" numFmtId="0" xfId="0" applyBorder="1" applyFont="1"/>
    <xf borderId="26" fillId="0" fontId="2" numFmtId="0" xfId="0" applyBorder="1" applyFont="1"/>
    <xf borderId="3" fillId="0" fontId="13" numFmtId="0" xfId="0" applyAlignment="1" applyBorder="1" applyFont="1">
      <alignment horizontal="center"/>
    </xf>
    <xf borderId="27" fillId="0" fontId="13" numFmtId="0" xfId="0" applyAlignment="1" applyBorder="1" applyFont="1">
      <alignment horizontal="center"/>
    </xf>
    <xf borderId="0" fillId="0" fontId="4" numFmtId="0" xfId="0" applyAlignment="1" applyFont="1">
      <alignment horizontal="center" shrinkToFit="0" vertical="center" wrapText="1"/>
    </xf>
    <xf borderId="28" fillId="0" fontId="2" numFmtId="0" xfId="0" applyBorder="1" applyFont="1"/>
    <xf borderId="27" fillId="0" fontId="13" numFmtId="0" xfId="0" applyBorder="1" applyFont="1"/>
    <xf borderId="0" fillId="0" fontId="14" numFmtId="0" xfId="0" applyAlignment="1" applyFont="1">
      <alignment horizontal="center" shrinkToFit="0" wrapText="1"/>
    </xf>
    <xf borderId="29" fillId="0" fontId="13" numFmtId="0" xfId="0" applyAlignment="1" applyBorder="1" applyFont="1">
      <alignment horizontal="center" vertical="center"/>
    </xf>
    <xf borderId="3" fillId="2" fontId="13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vertical="center"/>
    </xf>
    <xf borderId="27" fillId="0" fontId="13" numFmtId="0" xfId="0" applyAlignment="1" applyBorder="1" applyFont="1">
      <alignment horizontal="center" vertical="center"/>
    </xf>
    <xf borderId="20" fillId="0" fontId="13" numFmtId="0" xfId="0" applyAlignment="1" applyBorder="1" applyFont="1">
      <alignment horizontal="center" vertical="center"/>
    </xf>
    <xf borderId="21" fillId="2" fontId="13" numFmtId="0" xfId="0" applyAlignment="1" applyBorder="1" applyFont="1">
      <alignment horizontal="center" vertical="center"/>
    </xf>
    <xf borderId="21" fillId="0" fontId="13" numFmtId="0" xfId="0" applyAlignment="1" applyBorder="1" applyFont="1">
      <alignment horizontal="center" vertical="center"/>
    </xf>
    <xf borderId="30" fillId="0" fontId="13" numFmtId="0" xfId="0" applyAlignment="1" applyBorder="1" applyFont="1">
      <alignment horizontal="center" vertical="center"/>
    </xf>
    <xf borderId="0" fillId="0" fontId="9" numFmtId="0" xfId="0" applyAlignment="1" applyFont="1">
      <alignment horizontal="center"/>
    </xf>
    <xf borderId="31" fillId="0" fontId="13" numFmtId="0" xfId="0" applyBorder="1" applyFont="1"/>
    <xf borderId="25" fillId="0" fontId="4" numFmtId="0" xfId="0" applyAlignment="1" applyBorder="1" applyFont="1">
      <alignment horizontal="center" shrinkToFit="0" vertical="center" wrapText="1"/>
    </xf>
    <xf borderId="32" fillId="0" fontId="2" numFmtId="0" xfId="0" applyBorder="1" applyFont="1"/>
    <xf borderId="25" fillId="0" fontId="15" numFmtId="0" xfId="0" applyAlignment="1" applyBorder="1" applyFont="1">
      <alignment horizontal="center" shrinkToFit="0" vertical="center" wrapText="1"/>
    </xf>
    <xf borderId="29" fillId="0" fontId="13" numFmtId="0" xfId="0" applyBorder="1" applyFont="1"/>
    <xf borderId="1" fillId="0" fontId="16" numFmtId="0" xfId="0" applyAlignment="1" applyBorder="1" applyFont="1">
      <alignment horizontal="center" shrinkToFit="0" vertical="top" wrapText="1"/>
    </xf>
    <xf borderId="1" fillId="0" fontId="14" numFmtId="0" xfId="0" applyAlignment="1" applyBorder="1" applyFont="1">
      <alignment horizontal="center" shrinkToFit="0" vertical="top" wrapText="1"/>
    </xf>
    <xf borderId="20" fillId="0" fontId="13" numFmtId="0" xfId="0" applyBorder="1" applyFont="1"/>
    <xf borderId="33" fillId="0" fontId="16" numFmtId="0" xfId="0" applyAlignment="1" applyBorder="1" applyFont="1">
      <alignment horizontal="center" shrinkToFit="0" vertical="top" wrapText="1"/>
    </xf>
    <xf borderId="34" fillId="0" fontId="2" numFmtId="0" xfId="0" applyBorder="1" applyFont="1"/>
    <xf borderId="33" fillId="0" fontId="14" numFmtId="0" xfId="0" applyAlignment="1" applyBorder="1" applyFont="1">
      <alignment horizontal="center" shrinkToFit="0" vertical="top" wrapText="1"/>
    </xf>
    <xf borderId="23" fillId="0" fontId="2" numFmtId="0" xfId="0" applyBorder="1" applyFont="1"/>
    <xf borderId="0" fillId="0" fontId="16" numFmtId="0" xfId="0" applyAlignment="1" applyFont="1">
      <alignment horizontal="center" shrinkToFit="0" vertical="top" wrapText="1"/>
    </xf>
    <xf borderId="35" fillId="0" fontId="17" numFmtId="0" xfId="0" applyAlignment="1" applyBorder="1" applyFont="1">
      <alignment horizontal="center" shrinkToFit="0" vertical="top" wrapText="1"/>
    </xf>
    <xf borderId="35" fillId="0" fontId="11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17" numFmtId="0" xfId="0" applyAlignment="1" applyFont="1">
      <alignment shrinkToFit="0" vertical="top" wrapText="1"/>
    </xf>
    <xf borderId="0" fillId="0" fontId="11" numFmtId="0" xfId="0" applyAlignment="1" applyFont="1">
      <alignment horizontal="center"/>
    </xf>
    <xf borderId="3" fillId="0" fontId="11" numFmtId="0" xfId="0" applyAlignment="1" applyBorder="1" applyFont="1">
      <alignment horizontal="left"/>
    </xf>
    <xf borderId="3" fillId="0" fontId="11" numFmtId="0" xfId="0" applyBorder="1" applyFont="1"/>
    <xf borderId="1" fillId="0" fontId="11" numFmtId="0" xfId="0" applyAlignment="1" applyBorder="1" applyFont="1">
      <alignment horizontal="left"/>
    </xf>
    <xf borderId="1" fillId="0" fontId="11" numFmtId="0" xfId="0" applyAlignment="1" applyBorder="1" applyFont="1">
      <alignment horizontal="center"/>
    </xf>
    <xf borderId="18" fillId="0" fontId="11" numFmtId="0" xfId="0" applyAlignment="1" applyBorder="1" applyFont="1">
      <alignment horizontal="center"/>
    </xf>
    <xf borderId="0" fillId="0" fontId="11" numFmtId="0" xfId="0" applyAlignment="1" applyFont="1">
      <alignment vertical="top"/>
    </xf>
    <xf borderId="1" fillId="0" fontId="11" numFmtId="0" xfId="0" applyAlignment="1" applyBorder="1" applyFont="1">
      <alignment horizontal="left" vertical="top"/>
    </xf>
    <xf borderId="18" fillId="0" fontId="11" numFmtId="0" xfId="0" applyAlignment="1" applyBorder="1" applyFont="1">
      <alignment horizontal="center" vertical="top"/>
    </xf>
    <xf borderId="1" fillId="0" fontId="11" numFmtId="0" xfId="0" applyAlignment="1" applyBorder="1" applyFont="1">
      <alignment horizontal="center" vertical="top"/>
    </xf>
    <xf borderId="36" fillId="0" fontId="11" numFmtId="0" xfId="0" applyAlignment="1" applyBorder="1" applyFont="1">
      <alignment vertical="top"/>
    </xf>
    <xf borderId="0" fillId="0" fontId="13" numFmtId="0" xfId="0" applyAlignment="1" applyFont="1">
      <alignment horizontal="center"/>
    </xf>
    <xf borderId="1" fillId="0" fontId="5" numFmtId="0" xfId="0" applyBorder="1" applyFont="1"/>
    <xf borderId="3" fillId="5" fontId="13" numFmtId="0" xfId="0" applyAlignment="1" applyBorder="1" applyFont="1">
      <alignment horizontal="center"/>
    </xf>
    <xf borderId="3" fillId="5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/>
    </xf>
    <xf borderId="3" fillId="0" fontId="18" numFmtId="0" xfId="0" applyBorder="1" applyFont="1"/>
    <xf borderId="3" fillId="5" fontId="18" numFmtId="0" xfId="0" applyBorder="1" applyFont="1"/>
    <xf borderId="3" fillId="7" fontId="13" numFmtId="0" xfId="0" applyAlignment="1" applyBorder="1" applyFill="1" applyFont="1">
      <alignment horizontal="center"/>
    </xf>
    <xf borderId="1" fillId="0" fontId="13" numFmtId="0" xfId="0" applyBorder="1" applyFont="1"/>
    <xf borderId="1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36" fillId="0" fontId="5" numFmtId="0" xfId="0" applyBorder="1" applyFont="1"/>
    <xf borderId="37" fillId="8" fontId="19" numFmtId="0" xfId="0" applyAlignment="1" applyBorder="1" applyFill="1" applyFont="1">
      <alignment horizontal="center"/>
    </xf>
    <xf borderId="4" fillId="0" fontId="13" numFmtId="0" xfId="0" applyAlignment="1" applyBorder="1" applyFont="1">
      <alignment horizontal="center"/>
    </xf>
    <xf borderId="3" fillId="0" fontId="20" numFmtId="0" xfId="0" applyAlignment="1" applyBorder="1" applyFont="1">
      <alignment vertical="center"/>
    </xf>
    <xf borderId="3" fillId="0" fontId="21" numFmtId="0" xfId="0" applyAlignment="1" applyBorder="1" applyFont="1">
      <alignment shrinkToFit="0" vertical="top" wrapText="1"/>
    </xf>
    <xf borderId="3" fillId="0" fontId="13" numFmtId="0" xfId="0" applyAlignment="1" applyBorder="1" applyFont="1">
      <alignment vertical="center"/>
    </xf>
    <xf borderId="5" fillId="0" fontId="13" numFmtId="0" xfId="0" applyAlignment="1" applyBorder="1" applyFont="1">
      <alignment horizontal="center"/>
    </xf>
    <xf borderId="3" fillId="0" fontId="20" numFmtId="0" xfId="0" applyBorder="1" applyFont="1"/>
    <xf borderId="3" fillId="0" fontId="20" numFmtId="0" xfId="0" applyAlignment="1" applyBorder="1" applyFont="1">
      <alignment horizontal="center"/>
    </xf>
    <xf borderId="3" fillId="0" fontId="20" numFmtId="0" xfId="0" applyAlignment="1" applyBorder="1" applyFont="1">
      <alignment horizontal="right"/>
    </xf>
    <xf borderId="4" fillId="0" fontId="20" numFmtId="0" xfId="0" applyBorder="1" applyFont="1"/>
    <xf borderId="4" fillId="0" fontId="13" numFmtId="0" xfId="0" applyBorder="1" applyFont="1"/>
    <xf borderId="38" fillId="0" fontId="13" numFmtId="0" xfId="0" applyBorder="1" applyFont="1"/>
    <xf borderId="38" fillId="0" fontId="18" numFmtId="0" xfId="0" applyAlignment="1" applyBorder="1" applyFont="1">
      <alignment horizontal="center"/>
    </xf>
    <xf borderId="39" fillId="0" fontId="6" numFmtId="0" xfId="0" applyBorder="1" applyFont="1"/>
    <xf borderId="32" fillId="0" fontId="13" numFmtId="0" xfId="0" applyBorder="1" applyFont="1"/>
    <xf borderId="25" fillId="0" fontId="13" numFmtId="0" xfId="0" applyBorder="1" applyFont="1"/>
    <xf borderId="39" fillId="0" fontId="12" numFmtId="0" xfId="0" applyBorder="1" applyFont="1"/>
    <xf borderId="32" fillId="0" fontId="12" numFmtId="0" xfId="0" applyBorder="1" applyFont="1"/>
    <xf borderId="14" fillId="0" fontId="12" numFmtId="0" xfId="0" applyBorder="1" applyFont="1"/>
    <xf borderId="25" fillId="0" fontId="12" numFmtId="0" xfId="0" applyBorder="1" applyFont="1"/>
    <xf borderId="0" fillId="0" fontId="13" numFmtId="0" xfId="0" applyFont="1"/>
    <xf borderId="40" fillId="0" fontId="6" numFmtId="0" xfId="0" applyBorder="1" applyFont="1"/>
    <xf borderId="2" fillId="0" fontId="13" numFmtId="0" xfId="0" applyBorder="1" applyFont="1"/>
    <xf borderId="40" fillId="0" fontId="12" numFmtId="0" xfId="0" applyBorder="1" applyFont="1"/>
    <xf borderId="17" fillId="0" fontId="12" numFmtId="0" xfId="0" applyBorder="1" applyFont="1"/>
    <xf borderId="3" fillId="0" fontId="12" numFmtId="0" xfId="0" applyBorder="1" applyFont="1"/>
    <xf borderId="19" fillId="0" fontId="12" numFmtId="0" xfId="0" applyBorder="1" applyFont="1"/>
    <xf borderId="41" fillId="0" fontId="7" numFmtId="0" xfId="0" applyAlignment="1" applyBorder="1" applyFont="1">
      <alignment shrinkToFit="0" wrapText="1"/>
    </xf>
    <xf borderId="34" fillId="0" fontId="13" numFmtId="0" xfId="0" applyBorder="1" applyFont="1"/>
    <xf borderId="33" fillId="0" fontId="22" numFmtId="0" xfId="0" applyBorder="1" applyFont="1"/>
    <xf borderId="41" fillId="0" fontId="22" numFmtId="0" xfId="0" applyBorder="1" applyFont="1"/>
    <xf borderId="34" fillId="0" fontId="22" numFmtId="0" xfId="0" applyBorder="1" applyFont="1"/>
    <xf borderId="21" fillId="0" fontId="13" numFmtId="0" xfId="0" applyBorder="1" applyFont="1"/>
    <xf borderId="0" fillId="0" fontId="22" numFmtId="0" xfId="0" applyFont="1"/>
    <xf borderId="0" fillId="0" fontId="23" numFmtId="0" xfId="0" applyAlignment="1" applyFont="1">
      <alignment shrinkToFit="0" wrapText="1"/>
    </xf>
    <xf borderId="42" fillId="0" fontId="24" numFmtId="0" xfId="0" applyAlignment="1" applyBorder="1" applyFont="1">
      <alignment horizontal="center"/>
    </xf>
    <xf borderId="43" fillId="0" fontId="2" numFmtId="0" xfId="0" applyBorder="1" applyFont="1"/>
    <xf borderId="44" fillId="0" fontId="2" numFmtId="0" xfId="0" applyBorder="1" applyFont="1"/>
    <xf borderId="45" fillId="0" fontId="24" numFmtId="0" xfId="0" applyBorder="1" applyFont="1"/>
    <xf borderId="46" fillId="0" fontId="24" numFmtId="0" xfId="0" applyAlignment="1" applyBorder="1" applyFont="1">
      <alignment horizontal="center"/>
    </xf>
    <xf borderId="47" fillId="0" fontId="24" numFmtId="0" xfId="0" applyAlignment="1" applyBorder="1" applyFont="1">
      <alignment horizontal="center"/>
    </xf>
    <xf borderId="28" fillId="0" fontId="24" numFmtId="0" xfId="0" applyBorder="1" applyFont="1"/>
    <xf borderId="5" fillId="0" fontId="24" numFmtId="0" xfId="0" applyAlignment="1" applyBorder="1" applyFont="1">
      <alignment horizontal="center"/>
    </xf>
    <xf borderId="48" fillId="0" fontId="24" numFmtId="0" xfId="0" applyAlignment="1" applyBorder="1" applyFont="1">
      <alignment horizontal="center"/>
    </xf>
    <xf borderId="29" fillId="0" fontId="24" numFmtId="0" xfId="0" applyBorder="1" applyFont="1"/>
    <xf borderId="3" fillId="0" fontId="24" numFmtId="0" xfId="0" applyAlignment="1" applyBorder="1" applyFont="1">
      <alignment horizontal="center"/>
    </xf>
    <xf borderId="27" fillId="0" fontId="24" numFmtId="0" xfId="0" applyAlignment="1" applyBorder="1" applyFont="1">
      <alignment horizontal="center"/>
    </xf>
    <xf borderId="20" fillId="0" fontId="24" numFmtId="0" xfId="0" applyBorder="1" applyFont="1"/>
    <xf borderId="21" fillId="0" fontId="24" numFmtId="0" xfId="0" applyAlignment="1" applyBorder="1" applyFont="1">
      <alignment horizontal="center"/>
    </xf>
    <xf borderId="30" fillId="0" fontId="24" numFmtId="0" xfId="0" applyAlignment="1" applyBorder="1" applyFont="1">
      <alignment horizontal="center"/>
    </xf>
    <xf borderId="3" fillId="0" fontId="11" numFmtId="0" xfId="0" applyAlignment="1" applyBorder="1" applyFont="1">
      <alignment vertical="top"/>
    </xf>
    <xf borderId="49" fillId="0" fontId="4" numFmtId="0" xfId="0" applyAlignment="1" applyBorder="1" applyFont="1">
      <alignment vertical="top"/>
    </xf>
    <xf borderId="0" fillId="0" fontId="4" numFmtId="0" xfId="0" applyAlignment="1" applyFont="1">
      <alignment vertical="top"/>
    </xf>
    <xf borderId="0" fillId="0" fontId="13" numFmtId="17" xfId="0" applyFont="1" applyNumberFormat="1"/>
    <xf borderId="3" fillId="8" fontId="13" numFmtId="0" xfId="0" applyAlignment="1" applyBorder="1" applyFont="1">
      <alignment horizontal="center"/>
    </xf>
    <xf borderId="3" fillId="9" fontId="13" numFmtId="0" xfId="0" applyAlignment="1" applyBorder="1" applyFill="1" applyFont="1">
      <alignment horizontal="center"/>
    </xf>
    <xf borderId="3" fillId="0" fontId="25" numFmtId="0" xfId="0" applyBorder="1" applyFont="1"/>
    <xf borderId="3" fillId="10" fontId="13" numFmtId="0" xfId="0" applyAlignment="1" applyBorder="1" applyFill="1" applyFont="1">
      <alignment horizontal="center"/>
    </xf>
    <xf borderId="1" fillId="0" fontId="26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" fillId="11" fontId="13" numFmtId="0" xfId="0" applyAlignment="1" applyBorder="1" applyFill="1" applyFont="1">
      <alignment horizontal="center"/>
    </xf>
    <xf borderId="3" fillId="11" fontId="27" numFmtId="0" xfId="0" applyAlignment="1" applyBorder="1" applyFont="1">
      <alignment vertical="center"/>
    </xf>
    <xf borderId="0" fillId="0" fontId="28" numFmtId="0" xfId="0" applyFont="1"/>
    <xf borderId="40" fillId="0" fontId="6" numFmtId="0" xfId="0" applyAlignment="1" applyBorder="1" applyFont="1">
      <alignment readingOrder="0"/>
    </xf>
    <xf borderId="40" fillId="0" fontId="7" numFmtId="0" xfId="0" applyAlignment="1" applyBorder="1" applyFont="1">
      <alignment shrinkToFit="0" wrapText="1"/>
    </xf>
    <xf borderId="1" fillId="0" fontId="22" numFmtId="0" xfId="0" applyBorder="1" applyFont="1"/>
    <xf borderId="40" fillId="0" fontId="22" numFmtId="0" xfId="0" applyBorder="1" applyFont="1"/>
    <xf borderId="2" fillId="0" fontId="22" numFmtId="0" xfId="0" applyBorder="1" applyFont="1"/>
    <xf borderId="0" fillId="0" fontId="29" numFmtId="0" xfId="0" applyAlignment="1" applyFont="1">
      <alignment horizontal="center" shrinkToFit="0" vertical="top" wrapText="1"/>
    </xf>
    <xf borderId="0" fillId="0" fontId="9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vertical="top" wrapText="1"/>
    </xf>
    <xf borderId="0" fillId="0" fontId="11" numFmtId="0" xfId="0" applyFont="1"/>
    <xf borderId="0" fillId="0" fontId="9" numFmtId="0" xfId="0" applyFont="1"/>
    <xf borderId="3" fillId="0" fontId="9" numFmtId="0" xfId="0" applyBorder="1" applyFont="1"/>
    <xf borderId="1" fillId="0" fontId="10" numFmtId="0" xfId="0" applyAlignment="1" applyBorder="1" applyFont="1">
      <alignment horizontal="center"/>
    </xf>
    <xf borderId="0" fillId="0" fontId="10" numFmtId="0" xfId="0" applyFont="1"/>
    <xf borderId="0" fillId="0" fontId="9" numFmtId="0" xfId="0" applyAlignment="1" applyFont="1">
      <alignment horizontal="center" vertical="top"/>
    </xf>
    <xf borderId="0" fillId="0" fontId="9" numFmtId="0" xfId="0" applyAlignment="1" applyFont="1">
      <alignment vertical="top"/>
    </xf>
    <xf borderId="1" fillId="0" fontId="9" numFmtId="0" xfId="0" applyAlignment="1" applyBorder="1" applyFont="1">
      <alignment horizontal="left" vertical="top"/>
    </xf>
    <xf borderId="1" fillId="0" fontId="9" numFmtId="0" xfId="0" applyAlignment="1" applyBorder="1" applyFont="1">
      <alignment horizontal="center"/>
    </xf>
    <xf borderId="0" fillId="0" fontId="11" numFmtId="0" xfId="0" applyAlignment="1" applyFont="1">
      <alignment horizontal="center" vertical="top"/>
    </xf>
    <xf borderId="4" fillId="0" fontId="4" numFmtId="0" xfId="0" applyAlignment="1" applyBorder="1" applyFont="1">
      <alignment horizontal="center" shrinkToFit="0" vertical="center" wrapText="1"/>
    </xf>
    <xf borderId="4" fillId="0" fontId="30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36" fillId="0" fontId="14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50" fillId="0" fontId="4" numFmtId="0" xfId="0" applyAlignment="1" applyBorder="1" applyFont="1">
      <alignment horizontal="center" shrinkToFit="0" vertical="center" wrapText="1"/>
    </xf>
    <xf borderId="51" fillId="0" fontId="2" numFmtId="0" xfId="0" applyBorder="1" applyFont="1"/>
    <xf borderId="52" fillId="0" fontId="2" numFmtId="0" xfId="0" applyBorder="1" applyFont="1"/>
    <xf borderId="3" fillId="0" fontId="14" numFmtId="0" xfId="0" applyAlignment="1" applyBorder="1" applyFont="1">
      <alignment horizontal="center" vertical="center"/>
    </xf>
    <xf borderId="53" fillId="12" fontId="31" numFmtId="0" xfId="0" applyAlignment="1" applyBorder="1" applyFill="1" applyFont="1">
      <alignment horizontal="center" vertical="center"/>
    </xf>
    <xf borderId="3" fillId="0" fontId="14" numFmtId="1" xfId="0" applyAlignment="1" applyBorder="1" applyFont="1" applyNumberFormat="1">
      <alignment horizontal="center" vertical="center"/>
    </xf>
    <xf borderId="0" fillId="0" fontId="14" numFmtId="1" xfId="0" applyAlignment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54" fillId="12" fontId="31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0" fillId="0" fontId="13" numFmtId="1" xfId="0" applyFont="1" applyNumberFormat="1"/>
    <xf borderId="42" fillId="0" fontId="32" numFmtId="0" xfId="0" applyAlignment="1" applyBorder="1" applyFont="1">
      <alignment horizontal="center"/>
    </xf>
    <xf borderId="55" fillId="0" fontId="33" numFmtId="0" xfId="0" applyAlignment="1" applyBorder="1" applyFont="1">
      <alignment horizontal="center"/>
    </xf>
    <xf borderId="56" fillId="0" fontId="12" numFmtId="0" xfId="0" applyBorder="1" applyFont="1"/>
    <xf borderId="17" fillId="0" fontId="33" numFmtId="0" xfId="0" applyAlignment="1" applyBorder="1" applyFont="1">
      <alignment horizontal="center" readingOrder="0"/>
    </xf>
    <xf borderId="27" fillId="0" fontId="12" numFmtId="1" xfId="0" applyBorder="1" applyFont="1" applyNumberFormat="1"/>
    <xf borderId="17" fillId="0" fontId="33" numFmtId="0" xfId="0" applyAlignment="1" applyBorder="1" applyFont="1">
      <alignment horizontal="center"/>
    </xf>
    <xf borderId="27" fillId="0" fontId="12" numFmtId="0" xfId="0" applyBorder="1" applyFont="1"/>
    <xf borderId="57" fillId="0" fontId="34" numFmtId="0" xfId="0" applyAlignment="1" applyBorder="1" applyFont="1">
      <alignment horizontal="center" shrinkToFit="0" wrapText="1"/>
    </xf>
    <xf borderId="30" fillId="0" fontId="35" numFmtId="0" xfId="0" applyBorder="1" applyFont="1"/>
    <xf borderId="0" fillId="0" fontId="36" numFmtId="0" xfId="0" applyAlignment="1" applyFont="1">
      <alignment horizontal="center"/>
    </xf>
    <xf borderId="0" fillId="0" fontId="34" numFmtId="0" xfId="0" applyAlignment="1" applyFont="1">
      <alignment horizontal="center" shrinkToFit="0" wrapText="1"/>
    </xf>
    <xf borderId="0" fillId="0" fontId="5" numFmtId="0" xfId="0" applyAlignment="1" applyFont="1">
      <alignment horizontal="left" shrinkToFit="0" wrapText="1"/>
    </xf>
    <xf borderId="13" fillId="0" fontId="5" numFmtId="0" xfId="0" applyAlignment="1" applyBorder="1" applyFont="1">
      <alignment shrinkToFit="0" wrapText="1"/>
    </xf>
    <xf borderId="14" fillId="0" fontId="5" numFmtId="0" xfId="0" applyAlignment="1" applyBorder="1" applyFont="1">
      <alignment shrinkToFit="0" wrapText="1"/>
    </xf>
    <xf borderId="56" fillId="0" fontId="5" numFmtId="0" xfId="0" applyAlignment="1" applyBorder="1" applyFont="1">
      <alignment shrinkToFit="0" wrapText="1"/>
    </xf>
    <xf borderId="29" fillId="0" fontId="37" numFmtId="0" xfId="0" applyAlignment="1" applyBorder="1" applyFont="1">
      <alignment horizontal="center" shrinkToFit="0" wrapText="1"/>
    </xf>
    <xf borderId="3" fillId="13" fontId="5" numFmtId="0" xfId="0" applyAlignment="1" applyBorder="1" applyFill="1" applyFont="1">
      <alignment horizontal="center" shrinkToFit="0" vertical="center" wrapText="1"/>
    </xf>
    <xf borderId="27" fillId="13" fontId="5" numFmtId="10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wrapText="1"/>
    </xf>
    <xf borderId="20" fillId="0" fontId="37" numFmtId="0" xfId="0" applyAlignment="1" applyBorder="1" applyFont="1">
      <alignment horizontal="center" shrinkToFit="0" wrapText="1"/>
    </xf>
    <xf borderId="21" fillId="13" fontId="5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/>
    </xf>
    <xf borderId="42" fillId="0" fontId="5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shrinkToFit="0" wrapText="1"/>
    </xf>
    <xf borderId="21" fillId="13" fontId="37" numFmtId="0" xfId="0" applyAlignment="1" applyBorder="1" applyFont="1">
      <alignment horizontal="center" readingOrder="0" shrinkToFit="0" wrapText="1"/>
    </xf>
    <xf borderId="21" fillId="13" fontId="5" numFmtId="0" xfId="0" applyAlignment="1" applyBorder="1" applyFont="1">
      <alignment horizontal="center" shrinkToFit="0" wrapText="1"/>
    </xf>
    <xf borderId="30" fillId="13" fontId="5" numFmtId="0" xfId="0" applyAlignment="1" applyBorder="1" applyFont="1">
      <alignment horizontal="center" shrinkToFit="0" wrapText="1"/>
    </xf>
    <xf borderId="42" fillId="0" fontId="5" numFmtId="0" xfId="0" applyAlignment="1" applyBorder="1" applyFont="1">
      <alignment horizontal="center" shrinkToFit="0" wrapText="1"/>
    </xf>
    <xf borderId="58" fillId="0" fontId="5" numFmtId="0" xfId="0" applyAlignment="1" applyBorder="1" applyFont="1">
      <alignment horizontal="center" shrinkToFit="0" vertical="top" wrapText="1"/>
    </xf>
    <xf borderId="59" fillId="0" fontId="5" numFmtId="0" xfId="0" applyAlignment="1" applyBorder="1" applyFont="1">
      <alignment horizontal="center" shrinkToFit="0" wrapText="1"/>
    </xf>
    <xf borderId="13" fillId="0" fontId="5" numFmtId="0" xfId="0" applyAlignment="1" applyBorder="1" applyFont="1">
      <alignment horizontal="center" shrinkToFit="0" wrapText="1"/>
    </xf>
    <xf borderId="14" fillId="0" fontId="5" numFmtId="0" xfId="0" applyAlignment="1" applyBorder="1" applyFont="1">
      <alignment horizontal="center" shrinkToFit="0" wrapText="1"/>
    </xf>
    <xf borderId="56" fillId="0" fontId="5" numFmtId="0" xfId="0" applyAlignment="1" applyBorder="1" applyFont="1">
      <alignment horizontal="center" shrinkToFit="0" wrapText="1"/>
    </xf>
    <xf borderId="60" fillId="0" fontId="5" numFmtId="0" xfId="0" applyAlignment="1" applyBorder="1" applyFont="1">
      <alignment horizontal="center" shrinkToFit="0" vertical="top" wrapText="1"/>
    </xf>
    <xf borderId="61" fillId="13" fontId="5" numFmtId="0" xfId="0" applyAlignment="1" applyBorder="1" applyFont="1">
      <alignment horizontal="center" shrinkToFit="0" wrapText="1"/>
    </xf>
    <xf borderId="61" fillId="13" fontId="5" numFmtId="10" xfId="0" applyAlignment="1" applyBorder="1" applyFont="1" applyNumberFormat="1">
      <alignment horizontal="center" shrinkToFit="0" wrapText="1"/>
    </xf>
    <xf borderId="61" fillId="13" fontId="5" numFmtId="0" xfId="0" applyAlignment="1" applyBorder="1" applyFont="1">
      <alignment horizontal="center" shrinkToFit="0" vertical="top" wrapText="1"/>
    </xf>
    <xf borderId="30" fillId="0" fontId="13" numFmtId="0" xfId="0" applyBorder="1" applyFont="1"/>
    <xf borderId="3" fillId="0" fontId="5" numFmtId="0" xfId="0" applyAlignment="1" applyBorder="1" applyFont="1">
      <alignment horizontal="center" vertical="center"/>
    </xf>
    <xf borderId="1" fillId="0" fontId="38" numFmtId="0" xfId="0" applyAlignment="1" applyBorder="1" applyFont="1">
      <alignment horizontal="center" vertical="center"/>
    </xf>
    <xf borderId="4" fillId="0" fontId="39" numFmtId="0" xfId="0" applyAlignment="1" applyBorder="1" applyFont="1">
      <alignment horizontal="center" shrinkToFit="0" wrapText="1"/>
    </xf>
    <xf borderId="4" fillId="0" fontId="11" numFmtId="0" xfId="0" applyAlignment="1" applyBorder="1" applyFont="1">
      <alignment horizontal="center" vertical="center"/>
    </xf>
    <xf borderId="3" fillId="0" fontId="31" numFmtId="0" xfId="0" applyAlignment="1" applyBorder="1" applyFont="1">
      <alignment horizontal="center" shrinkToFit="0" wrapText="1"/>
    </xf>
    <xf borderId="3" fillId="0" fontId="14" numFmtId="0" xfId="0" applyAlignment="1" applyBorder="1" applyFont="1">
      <alignment vertical="center"/>
    </xf>
    <xf borderId="3" fillId="7" fontId="13" numFmtId="0" xfId="0" applyBorder="1" applyFont="1"/>
    <xf borderId="0" fillId="0" fontId="31" numFmtId="0" xfId="0" applyAlignment="1" applyFont="1">
      <alignment horizontal="center" shrinkToFit="0" wrapText="1"/>
    </xf>
    <xf borderId="1" fillId="0" fontId="28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vertical="center"/>
    </xf>
    <xf borderId="3" fillId="0" fontId="10" numFmtId="164" xfId="0" applyAlignment="1" applyBorder="1" applyFont="1" applyNumberFormat="1">
      <alignment horizontal="center" vertical="center"/>
    </xf>
    <xf borderId="0" fillId="0" fontId="39" numFmtId="0" xfId="0" applyAlignment="1" applyFont="1">
      <alignment horizontal="center" shrinkToFit="0" wrapText="1"/>
    </xf>
    <xf borderId="0" fillId="0" fontId="28" numFmtId="0" xfId="0" applyAlignment="1" applyFont="1">
      <alignment horizontal="center" shrinkToFit="0" wrapText="1"/>
    </xf>
    <xf borderId="29" fillId="0" fontId="40" numFmtId="0" xfId="0" applyAlignment="1" applyBorder="1" applyFont="1">
      <alignment horizontal="center" shrinkToFit="0" vertical="center" wrapText="1"/>
    </xf>
    <xf borderId="29" fillId="7" fontId="40" numFmtId="0" xfId="0" applyAlignment="1" applyBorder="1" applyFont="1">
      <alignment horizontal="center" shrinkToFit="0" vertical="center" wrapText="1"/>
    </xf>
    <xf borderId="3" fillId="7" fontId="10" numFmtId="0" xfId="0" applyAlignment="1" applyBorder="1" applyFont="1">
      <alignment horizontal="center" readingOrder="0" vertical="center"/>
    </xf>
    <xf borderId="3" fillId="7" fontId="10" numFmtId="0" xfId="0" applyAlignment="1" applyBorder="1" applyFont="1">
      <alignment horizontal="center" vertical="center"/>
    </xf>
    <xf borderId="3" fillId="7" fontId="28" numFmtId="0" xfId="0" applyAlignment="1" applyBorder="1" applyFont="1">
      <alignment horizontal="center" vertical="center"/>
    </xf>
    <xf borderId="24" fillId="0" fontId="29" numFmtId="0" xfId="0" applyAlignment="1" applyBorder="1" applyFont="1">
      <alignment horizontal="center" shrinkToFit="0" vertical="center" wrapText="1"/>
    </xf>
    <xf borderId="62" fillId="0" fontId="29" numFmtId="0" xfId="0" applyAlignment="1" applyBorder="1" applyFont="1">
      <alignment horizontal="center" shrinkToFit="0" vertical="center" wrapText="1"/>
    </xf>
    <xf borderId="13" fillId="0" fontId="40" numFmtId="0" xfId="0" applyAlignment="1" applyBorder="1" applyFont="1">
      <alignment horizontal="center" shrinkToFit="0" vertical="center" wrapText="1"/>
    </xf>
    <xf borderId="14" fillId="0" fontId="10" numFmtId="164" xfId="0" applyAlignment="1" applyBorder="1" applyFont="1" applyNumberFormat="1">
      <alignment horizontal="center"/>
    </xf>
    <xf borderId="56" fillId="0" fontId="41" numFmtId="0" xfId="0" applyBorder="1" applyFont="1"/>
    <xf borderId="3" fillId="0" fontId="10" numFmtId="164" xfId="0" applyAlignment="1" applyBorder="1" applyFont="1" applyNumberFormat="1">
      <alignment horizontal="center"/>
    </xf>
    <xf borderId="27" fillId="0" fontId="41" numFmtId="0" xfId="0" applyBorder="1" applyFont="1"/>
    <xf borderId="20" fillId="0" fontId="40" numFmtId="0" xfId="0" applyAlignment="1" applyBorder="1" applyFont="1">
      <alignment horizontal="center" shrinkToFit="0" vertical="center" wrapText="1"/>
    </xf>
    <xf borderId="21" fillId="0" fontId="10" numFmtId="164" xfId="0" applyAlignment="1" applyBorder="1" applyFont="1" applyNumberFormat="1">
      <alignment horizontal="center"/>
    </xf>
    <xf borderId="30" fillId="0" fontId="41" numFmtId="0" xfId="0" applyBorder="1" applyFont="1"/>
    <xf borderId="0" fillId="0" fontId="29" numFmtId="0" xfId="0" applyAlignment="1" applyFont="1">
      <alignment shrinkToFit="0" vertical="top" wrapText="1"/>
    </xf>
    <xf borderId="0" fillId="0" fontId="9" numFmtId="0" xfId="0" applyAlignment="1" applyFont="1">
      <alignment horizontal="center" readingOrder="0" shrinkToFit="0" vertical="top" wrapText="1"/>
    </xf>
    <xf borderId="0" fillId="0" fontId="9" numFmtId="0" xfId="0" applyAlignment="1" applyFont="1">
      <alignment shrinkToFit="0" vertical="top" wrapText="1"/>
    </xf>
    <xf borderId="1" fillId="0" fontId="4" numFmtId="0" xfId="0" applyAlignment="1" applyBorder="1" applyFont="1">
      <alignment horizontal="center"/>
    </xf>
    <xf borderId="1" fillId="0" fontId="42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top"/>
    </xf>
    <xf borderId="3" fillId="0" fontId="43" numFmtId="0" xfId="0" applyAlignment="1" applyBorder="1" applyFont="1">
      <alignment horizontal="center" shrinkToFit="0" vertical="center" wrapText="1"/>
    </xf>
    <xf borderId="3" fillId="0" fontId="43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3" fillId="0" fontId="44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3" fillId="0" fontId="13" numFmtId="1" xfId="0" applyAlignment="1" applyBorder="1" applyFont="1" applyNumberFormat="1">
      <alignment horizontal="center" shrinkToFit="0" vertical="center" wrapText="1"/>
    </xf>
    <xf borderId="3" fillId="0" fontId="45" numFmtId="1" xfId="0" applyAlignment="1" applyBorder="1" applyFont="1" applyNumberFormat="1">
      <alignment horizontal="center" vertical="center"/>
    </xf>
    <xf borderId="3" fillId="0" fontId="46" numFmtId="2" xfId="0" applyAlignment="1" applyBorder="1" applyFont="1" applyNumberFormat="1">
      <alignment horizontal="center" shrinkToFit="0" vertical="center" wrapText="1"/>
    </xf>
    <xf borderId="29" fillId="0" fontId="4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1" fillId="0" fontId="42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top"/>
    </xf>
    <xf borderId="63" fillId="0" fontId="4" numFmtId="0" xfId="0" applyAlignment="1" applyBorder="1" applyFont="1">
      <alignment horizontal="center" shrinkToFit="0" wrapText="1"/>
    </xf>
    <xf borderId="63" fillId="0" fontId="2" numFmtId="0" xfId="0" applyBorder="1" applyFont="1"/>
    <xf borderId="13" fillId="0" fontId="47" numFmtId="0" xfId="0" applyAlignment="1" applyBorder="1" applyFont="1">
      <alignment shrinkToFit="0" vertical="top" wrapText="1"/>
    </xf>
    <xf borderId="32" fillId="0" fontId="47" numFmtId="0" xfId="0" applyAlignment="1" applyBorder="1" applyFont="1">
      <alignment shrinkToFit="0" vertical="top" wrapText="1"/>
    </xf>
    <xf borderId="32" fillId="0" fontId="47" numFmtId="0" xfId="0" applyAlignment="1" applyBorder="1" applyFont="1">
      <alignment horizontal="center" shrinkToFit="0" vertical="top" wrapText="1"/>
    </xf>
    <xf borderId="16" fillId="0" fontId="47" numFmtId="0" xfId="0" applyAlignment="1" applyBorder="1" applyFont="1">
      <alignment horizontal="center" shrinkToFit="0" vertical="top" wrapText="1"/>
    </xf>
    <xf borderId="28" fillId="0" fontId="48" numFmtId="0" xfId="0" applyAlignment="1" applyBorder="1" applyFont="1">
      <alignment horizontal="center" shrinkToFit="0" wrapText="1"/>
    </xf>
    <xf borderId="52" fillId="0" fontId="46" numFmtId="2" xfId="0" applyAlignment="1" applyBorder="1" applyFont="1" applyNumberFormat="1">
      <alignment horizontal="center" shrinkToFit="0" wrapText="1"/>
    </xf>
    <xf borderId="52" fillId="7" fontId="48" numFmtId="0" xfId="0" applyAlignment="1" applyBorder="1" applyFont="1">
      <alignment horizontal="center" shrinkToFit="0" vertical="bottom" wrapText="1"/>
    </xf>
    <xf borderId="52" fillId="7" fontId="13" numFmtId="0" xfId="0" applyAlignment="1" applyBorder="1" applyFont="1">
      <alignment vertical="bottom"/>
    </xf>
    <xf borderId="52" fillId="7" fontId="13" numFmtId="0" xfId="0" applyAlignment="1" applyBorder="1" applyFont="1">
      <alignment horizontal="center" shrinkToFit="0" vertical="bottom" wrapText="1"/>
    </xf>
    <xf borderId="64" fillId="7" fontId="13" numFmtId="0" xfId="0" applyAlignment="1" applyBorder="1" applyFont="1">
      <alignment vertical="bottom"/>
    </xf>
    <xf borderId="65" fillId="0" fontId="48" numFmtId="0" xfId="0" applyAlignment="1" applyBorder="1" applyFont="1">
      <alignment horizontal="center" shrinkToFit="0" wrapText="1"/>
    </xf>
    <xf borderId="66" fillId="0" fontId="46" numFmtId="2" xfId="0" applyAlignment="1" applyBorder="1" applyFont="1" applyNumberFormat="1">
      <alignment horizontal="center" shrinkToFit="0" wrapText="1"/>
    </xf>
    <xf borderId="66" fillId="7" fontId="13" numFmtId="0" xfId="0" applyAlignment="1" applyBorder="1" applyFont="1">
      <alignment horizontal="center" shrinkToFit="0" vertical="bottom" wrapText="1"/>
    </xf>
    <xf borderId="66" fillId="7" fontId="13" numFmtId="0" xfId="0" applyAlignment="1" applyBorder="1" applyFont="1">
      <alignment vertical="bottom"/>
    </xf>
    <xf borderId="66" fillId="7" fontId="48" numFmtId="0" xfId="0" applyAlignment="1" applyBorder="1" applyFont="1">
      <alignment horizontal="center" shrinkToFit="0" vertical="bottom" wrapText="1"/>
    </xf>
    <xf borderId="67" fillId="7" fontId="13" numFmtId="0" xfId="0" applyAlignment="1" applyBorder="1" applyFont="1">
      <alignment vertical="bottom"/>
    </xf>
    <xf borderId="60" fillId="0" fontId="49" numFmtId="0" xfId="0" applyAlignment="1" applyBorder="1" applyFont="1">
      <alignment horizontal="center" shrinkToFit="0" wrapText="1"/>
    </xf>
    <xf borderId="66" fillId="0" fontId="2" numFmtId="0" xfId="0" applyBorder="1" applyFont="1"/>
    <xf borderId="66" fillId="0" fontId="13" numFmtId="0" xfId="0" applyAlignment="1" applyBorder="1" applyFont="1">
      <alignment horizontal="center"/>
    </xf>
    <xf borderId="0" fillId="0" fontId="50" numFmtId="0" xfId="0" applyAlignment="1" applyFont="1">
      <alignment shrinkToFit="0" vertical="top" wrapText="1"/>
    </xf>
    <xf borderId="68" fillId="0" fontId="9" numFmtId="0" xfId="0" applyAlignment="1" applyBorder="1" applyFont="1">
      <alignment horizontal="center"/>
    </xf>
    <xf borderId="68" fillId="0" fontId="2" numFmtId="0" xfId="0" applyBorder="1" applyFont="1"/>
    <xf borderId="1" fillId="0" fontId="9" numFmtId="0" xfId="0" applyAlignment="1" applyBorder="1" applyFont="1">
      <alignment horizontal="left"/>
    </xf>
    <xf borderId="3" fillId="0" fontId="51" numFmtId="0" xfId="0" applyAlignment="1" applyBorder="1" applyFont="1">
      <alignment horizontal="center" shrinkToFit="0" vertical="top" wrapText="1"/>
    </xf>
    <xf borderId="2" fillId="0" fontId="51" numFmtId="0" xfId="0" applyAlignment="1" applyBorder="1" applyFont="1">
      <alignment horizontal="center" shrinkToFit="0" vertical="top" wrapText="1"/>
    </xf>
    <xf borderId="2" fillId="0" fontId="51" numFmtId="0" xfId="0" applyAlignment="1" applyBorder="1" applyFont="1">
      <alignment horizontal="center" vertical="top"/>
    </xf>
    <xf borderId="18" fillId="0" fontId="51" numFmtId="0" xfId="0" applyAlignment="1" applyBorder="1" applyFont="1">
      <alignment horizontal="center" shrinkToFit="0" wrapText="1"/>
    </xf>
    <xf borderId="4" fillId="0" fontId="15" numFmtId="0" xfId="0" applyAlignment="1" applyBorder="1" applyFont="1">
      <alignment horizontal="center" shrinkToFit="0" vertical="top" wrapText="1"/>
    </xf>
    <xf borderId="1" fillId="0" fontId="15" numFmtId="0" xfId="0" applyAlignment="1" applyBorder="1" applyFont="1">
      <alignment horizontal="center" shrinkToFit="0" vertical="top" wrapText="1"/>
    </xf>
    <xf borderId="36" fillId="0" fontId="15" numFmtId="0" xfId="0" applyAlignment="1" applyBorder="1" applyFont="1">
      <alignment horizontal="center" shrinkToFit="0" vertical="center" wrapText="1"/>
    </xf>
    <xf borderId="38" fillId="0" fontId="2" numFmtId="0" xfId="0" applyBorder="1" applyFont="1"/>
    <xf borderId="50" fillId="0" fontId="2" numFmtId="0" xfId="0" applyBorder="1" applyFont="1"/>
    <xf borderId="5" fillId="0" fontId="52" numFmtId="0" xfId="0" applyAlignment="1" applyBorder="1" applyFont="1">
      <alignment horizontal="center" shrinkToFit="0" wrapText="1"/>
    </xf>
    <xf borderId="52" fillId="0" fontId="13" numFmtId="0" xfId="0" applyBorder="1" applyFont="1"/>
    <xf borderId="52" fillId="0" fontId="5" numFmtId="2" xfId="0" applyAlignment="1" applyBorder="1" applyFont="1" applyNumberFormat="1">
      <alignment horizontal="center" shrinkToFit="0" wrapText="1"/>
    </xf>
    <xf borderId="52" fillId="0" fontId="13" numFmtId="2" xfId="0" applyAlignment="1" applyBorder="1" applyFont="1" applyNumberFormat="1">
      <alignment horizontal="center" shrinkToFit="0" wrapText="1"/>
    </xf>
    <xf borderId="68" fillId="14" fontId="13" numFmtId="0" xfId="0" applyBorder="1" applyFill="1" applyFont="1"/>
    <xf borderId="3" fillId="0" fontId="15" numFmtId="0" xfId="0" applyAlignment="1" applyBorder="1" applyFont="1">
      <alignment horizontal="left" shrinkToFit="0" vertical="top" wrapText="1"/>
    </xf>
    <xf borderId="3" fillId="13" fontId="13" numFmtId="0" xfId="0" applyAlignment="1" applyBorder="1" applyFont="1">
      <alignment shrinkToFit="0" wrapText="1"/>
    </xf>
    <xf borderId="3" fillId="0" fontId="5" numFmtId="2" xfId="0" applyAlignment="1" applyBorder="1" applyFont="1" applyNumberFormat="1">
      <alignment horizontal="center" shrinkToFit="0" vertical="center" wrapText="1"/>
    </xf>
    <xf borderId="3" fillId="0" fontId="20" numFmtId="2" xfId="0" applyAlignment="1" applyBorder="1" applyFont="1" applyNumberFormat="1">
      <alignment horizontal="center" shrinkToFit="0" wrapText="1"/>
    </xf>
    <xf borderId="1" fillId="15" fontId="13" numFmtId="0" xfId="0" applyAlignment="1" applyBorder="1" applyFill="1" applyFont="1">
      <alignment horizontal="center" shrinkToFit="0" wrapText="1"/>
    </xf>
    <xf borderId="6" fillId="16" fontId="4" numFmtId="0" xfId="0" applyAlignment="1" applyBorder="1" applyFill="1" applyFont="1">
      <alignment horizontal="center" vertical="top"/>
    </xf>
    <xf borderId="69" fillId="0" fontId="2" numFmtId="0" xfId="0" applyBorder="1" applyFont="1"/>
    <xf borderId="3" fillId="0" fontId="9" numFmtId="0" xfId="0" applyAlignment="1" applyBorder="1" applyFont="1">
      <alignment vertical="center"/>
    </xf>
    <xf borderId="1" fillId="0" fontId="10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3" fillId="0" fontId="50" numFmtId="0" xfId="0" applyAlignment="1" applyBorder="1" applyFont="1">
      <alignment horizontal="center" shrinkToFit="0" vertical="center" wrapText="1"/>
    </xf>
    <xf borderId="3" fillId="17" fontId="13" numFmtId="0" xfId="0" applyAlignment="1" applyBorder="1" applyFill="1" applyFont="1">
      <alignment horizontal="center" vertical="center"/>
    </xf>
    <xf borderId="3" fillId="0" fontId="15" numFmtId="0" xfId="0" applyAlignment="1" applyBorder="1" applyFont="1">
      <alignment horizontal="center" shrinkToFit="0" vertical="center" wrapText="1"/>
    </xf>
    <xf borderId="1" fillId="17" fontId="13" numFmtId="0" xfId="0" applyAlignment="1" applyBorder="1" applyFont="1">
      <alignment horizontal="center" vertical="center"/>
    </xf>
    <xf borderId="1" fillId="17" fontId="4" numFmtId="0" xfId="0" applyAlignment="1" applyBorder="1" applyFont="1">
      <alignment horizontal="center" vertical="center"/>
    </xf>
    <xf borderId="3" fillId="17" fontId="4" numFmtId="0" xfId="0" applyAlignment="1" applyBorder="1" applyFont="1">
      <alignment horizontal="center" shrinkToFit="0" vertical="center" wrapText="1"/>
    </xf>
    <xf borderId="1" fillId="17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18</xdr:row>
      <xdr:rowOff>0</xdr:rowOff>
    </xdr:from>
    <xdr:ext cx="2847975" cy="1533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447675</xdr:colOff>
      <xdr:row>0</xdr:row>
      <xdr:rowOff>0</xdr:rowOff>
    </xdr:from>
    <xdr:ext cx="723900" cy="695325"/>
    <xdr:pic>
      <xdr:nvPicPr>
        <xdr:cNvPr descr="http://www.amcgroup.edu.in/AMCEC/image/sliderimages/logo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0</xdr:row>
      <xdr:rowOff>0</xdr:rowOff>
    </xdr:from>
    <xdr:ext cx="2143125" cy="666750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390525</xdr:colOff>
      <xdr:row>0</xdr:row>
      <xdr:rowOff>0</xdr:rowOff>
    </xdr:from>
    <xdr:ext cx="2809875" cy="657225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0</xdr:row>
      <xdr:rowOff>19050</xdr:rowOff>
    </xdr:from>
    <xdr:ext cx="2143125" cy="590550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0</xdr:row>
      <xdr:rowOff>0</xdr:rowOff>
    </xdr:from>
    <xdr:ext cx="1943100" cy="1247775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409575</xdr:colOff>
      <xdr:row>0</xdr:row>
      <xdr:rowOff>47625</xdr:rowOff>
    </xdr:from>
    <xdr:ext cx="1609725" cy="1123950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9525</xdr:rowOff>
    </xdr:from>
    <xdr:ext cx="2238375" cy="1057275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9525</xdr:rowOff>
    </xdr:from>
    <xdr:ext cx="2266950" cy="590550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9525</xdr:rowOff>
    </xdr:from>
    <xdr:ext cx="2133600" cy="1133475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0</xdr:row>
      <xdr:rowOff>0</xdr:rowOff>
    </xdr:from>
    <xdr:ext cx="1171575" cy="742950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0</xdr:row>
      <xdr:rowOff>0</xdr:rowOff>
    </xdr:from>
    <xdr:ext cx="1171575" cy="742950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0</xdr:rowOff>
    </xdr:from>
    <xdr:ext cx="1962150" cy="885825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38100</xdr:colOff>
      <xdr:row>0</xdr:row>
      <xdr:rowOff>0</xdr:rowOff>
    </xdr:from>
    <xdr:ext cx="1876425" cy="885825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28575</xdr:rowOff>
    </xdr:from>
    <xdr:ext cx="1247775" cy="600075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590550</xdr:colOff>
      <xdr:row>0</xdr:row>
      <xdr:rowOff>0</xdr:rowOff>
    </xdr:from>
    <xdr:ext cx="1285875" cy="600075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409575</xdr:colOff>
      <xdr:row>0</xdr:row>
      <xdr:rowOff>19050</xdr:rowOff>
    </xdr:from>
    <xdr:ext cx="1905000" cy="876300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819150</xdr:colOff>
      <xdr:row>0</xdr:row>
      <xdr:rowOff>0</xdr:rowOff>
    </xdr:from>
    <xdr:ext cx="1876425" cy="885825"/>
    <xdr:pic>
      <xdr:nvPicPr>
        <xdr:cNvPr descr="http://www.amcgroup.edu.in/AMCEC/image/sliderimages/logo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4.71"/>
    <col customWidth="1" min="4" max="4" width="123.14"/>
    <col customWidth="1" min="5" max="26" width="8.71"/>
  </cols>
  <sheetData>
    <row r="1">
      <c r="C1" s="1" t="s">
        <v>0</v>
      </c>
      <c r="D1" s="2"/>
    </row>
    <row r="4">
      <c r="C4" s="3" t="s">
        <v>1</v>
      </c>
      <c r="D4" s="3" t="s">
        <v>2</v>
      </c>
    </row>
    <row r="5" ht="55.5" customHeight="1">
      <c r="C5" s="4" t="s">
        <v>3</v>
      </c>
      <c r="D5" s="2"/>
    </row>
    <row r="7">
      <c r="C7" s="5" t="s">
        <v>4</v>
      </c>
      <c r="D7" s="5" t="s">
        <v>5</v>
      </c>
    </row>
    <row r="8">
      <c r="C8" s="5"/>
      <c r="D8" s="6" t="s">
        <v>6</v>
      </c>
    </row>
    <row r="9">
      <c r="C9" s="5"/>
      <c r="D9" s="6"/>
    </row>
    <row r="10">
      <c r="C10" s="5" t="s">
        <v>7</v>
      </c>
      <c r="D10" s="7" t="s">
        <v>8</v>
      </c>
    </row>
    <row r="11">
      <c r="C11" s="5"/>
      <c r="D11" s="5" t="s">
        <v>9</v>
      </c>
    </row>
    <row r="12">
      <c r="C12" s="5"/>
      <c r="D12" s="5" t="s">
        <v>10</v>
      </c>
    </row>
    <row r="13">
      <c r="C13" s="5"/>
      <c r="D13" s="5" t="s">
        <v>11</v>
      </c>
    </row>
    <row r="14">
      <c r="C14" s="5"/>
      <c r="D14" s="5" t="s">
        <v>12</v>
      </c>
    </row>
    <row r="15">
      <c r="C15" s="5"/>
      <c r="D15" s="5" t="s">
        <v>13</v>
      </c>
    </row>
    <row r="16">
      <c r="C16" s="5"/>
      <c r="D16" s="5" t="s">
        <v>14</v>
      </c>
    </row>
    <row r="17">
      <c r="C17" s="5"/>
      <c r="D17" s="5"/>
    </row>
    <row r="18">
      <c r="C18" s="5" t="s">
        <v>15</v>
      </c>
      <c r="D18" s="5" t="s">
        <v>16</v>
      </c>
    </row>
    <row r="19">
      <c r="C19" s="5"/>
      <c r="D19" s="5" t="s">
        <v>11</v>
      </c>
    </row>
    <row r="20">
      <c r="C20" s="5"/>
      <c r="D20" s="5" t="s">
        <v>17</v>
      </c>
    </row>
    <row r="21" ht="15.75" customHeight="1">
      <c r="C21" s="5"/>
      <c r="D21" s="5"/>
    </row>
    <row r="22" ht="15.75" customHeight="1">
      <c r="C22" s="5" t="s">
        <v>18</v>
      </c>
      <c r="D22" s="5" t="s">
        <v>19</v>
      </c>
    </row>
    <row r="23" ht="15.75" customHeight="1">
      <c r="C23" s="5"/>
      <c r="D23" s="6" t="s">
        <v>20</v>
      </c>
    </row>
    <row r="24" ht="15.75" customHeight="1">
      <c r="C24" s="5"/>
      <c r="D24" s="8" t="s">
        <v>21</v>
      </c>
    </row>
    <row r="25" ht="15.75" customHeight="1">
      <c r="C25" s="5"/>
      <c r="D25" s="8"/>
    </row>
    <row r="26" ht="15.75" customHeight="1">
      <c r="C26" s="5"/>
      <c r="D26" s="8"/>
    </row>
    <row r="27" ht="15.75" customHeight="1">
      <c r="C27" s="5" t="s">
        <v>22</v>
      </c>
      <c r="D27" s="9" t="s">
        <v>23</v>
      </c>
    </row>
    <row r="28" ht="15.75" customHeight="1">
      <c r="C28" s="5"/>
      <c r="D28" s="5" t="s">
        <v>24</v>
      </c>
    </row>
    <row r="29" ht="15.75" customHeight="1">
      <c r="C29" s="5"/>
      <c r="D29" s="5" t="s">
        <v>25</v>
      </c>
    </row>
    <row r="30" ht="15.75" customHeight="1">
      <c r="C30" s="5"/>
      <c r="D30" s="5" t="s">
        <v>26</v>
      </c>
    </row>
    <row r="31" ht="15.75" customHeight="1">
      <c r="C31" s="5"/>
      <c r="D31" s="5"/>
    </row>
    <row r="32" ht="15.75" customHeight="1">
      <c r="C32" s="5" t="s">
        <v>27</v>
      </c>
      <c r="D32" s="10" t="s">
        <v>28</v>
      </c>
    </row>
    <row r="33" ht="33.75" customHeight="1">
      <c r="C33" s="11" t="s">
        <v>29</v>
      </c>
      <c r="D33" s="12" t="s">
        <v>30</v>
      </c>
    </row>
    <row r="34" ht="15.75" customHeight="1">
      <c r="C34" s="11"/>
      <c r="D34" s="13"/>
    </row>
    <row r="35" ht="15.75" customHeight="1">
      <c r="C35" s="14" t="s">
        <v>31</v>
      </c>
      <c r="D35" s="15" t="s">
        <v>32</v>
      </c>
    </row>
    <row r="36" ht="15.75" customHeight="1">
      <c r="C36" s="16"/>
      <c r="D36" s="15" t="s">
        <v>33</v>
      </c>
    </row>
    <row r="37" ht="15.75" customHeight="1">
      <c r="C37" s="17"/>
      <c r="D37" s="15"/>
    </row>
    <row r="38" ht="15.75" customHeight="1">
      <c r="C38" s="14" t="s">
        <v>34</v>
      </c>
      <c r="D38" s="15" t="s">
        <v>35</v>
      </c>
    </row>
    <row r="39" ht="15.75" customHeight="1">
      <c r="C39" s="16"/>
      <c r="D39" s="15" t="s">
        <v>36</v>
      </c>
    </row>
    <row r="40" ht="15.75" customHeight="1">
      <c r="C40" s="18"/>
      <c r="D40" s="19"/>
    </row>
    <row r="41" ht="15.75" customHeight="1"/>
    <row r="42" ht="15.75" customHeight="1">
      <c r="C42" s="20" t="s">
        <v>37</v>
      </c>
      <c r="D42" s="21"/>
    </row>
    <row r="43" ht="15.75" customHeight="1">
      <c r="C43" s="20" t="s">
        <v>38</v>
      </c>
      <c r="D43" s="21"/>
    </row>
    <row r="44" ht="15.75" customHeight="1"/>
    <row r="45" ht="15.75" customHeight="1">
      <c r="C45" s="22" t="s">
        <v>39</v>
      </c>
      <c r="D45" s="23"/>
    </row>
    <row r="46" ht="15.75" customHeight="1">
      <c r="C46" s="24"/>
      <c r="D46" s="25"/>
    </row>
    <row r="47" ht="15.75" customHeight="1">
      <c r="C47" s="26"/>
      <c r="D47" s="26" t="s">
        <v>40</v>
      </c>
    </row>
    <row r="48" ht="15.75" customHeight="1">
      <c r="C48" s="26"/>
      <c r="D48" s="26" t="s">
        <v>41</v>
      </c>
    </row>
    <row r="49" ht="15.75" customHeight="1">
      <c r="C49" s="26"/>
      <c r="D49" s="26" t="s">
        <v>42</v>
      </c>
    </row>
    <row r="50" ht="15.75" customHeight="1">
      <c r="C50" s="26"/>
      <c r="D50" s="26" t="s">
        <v>43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1:D1"/>
    <mergeCell ref="C5:D5"/>
    <mergeCell ref="C35:C36"/>
    <mergeCell ref="C38:C39"/>
    <mergeCell ref="C42:D42"/>
    <mergeCell ref="C43:D43"/>
    <mergeCell ref="C45:D4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8.71"/>
    <col customWidth="1" min="4" max="4" width="20.14"/>
    <col customWidth="1" min="5" max="5" width="20.43"/>
    <col customWidth="1" min="6" max="6" width="13.57"/>
    <col customWidth="1" min="7" max="7" width="19.29"/>
    <col customWidth="1" min="8" max="8" width="23.86"/>
    <col customWidth="1" min="9" max="9" width="13.29"/>
    <col customWidth="1" min="10" max="10" width="11.0"/>
    <col customWidth="1" min="11" max="11" width="11.86"/>
    <col customWidth="1" min="12" max="26" width="8.71"/>
  </cols>
  <sheetData>
    <row r="1" ht="15.0" customHeight="1">
      <c r="E1" s="27" t="s">
        <v>44</v>
      </c>
    </row>
    <row r="2" ht="15.0" customHeight="1">
      <c r="E2" s="27" t="s">
        <v>45</v>
      </c>
    </row>
    <row r="3" ht="24.75" customHeight="1">
      <c r="E3" s="28" t="s">
        <v>46</v>
      </c>
    </row>
    <row r="4">
      <c r="D4" s="29" t="s">
        <v>47</v>
      </c>
      <c r="E4" s="30" t="s">
        <v>48</v>
      </c>
      <c r="F4" s="31" t="s">
        <v>49</v>
      </c>
      <c r="G4" s="30" t="s">
        <v>50</v>
      </c>
      <c r="H4" s="32"/>
      <c r="I4" s="32"/>
      <c r="J4" s="32"/>
      <c r="K4" s="33"/>
    </row>
    <row r="5">
      <c r="D5" s="34" t="s">
        <v>51</v>
      </c>
      <c r="E5" s="35"/>
      <c r="F5" s="35"/>
      <c r="G5" s="35"/>
      <c r="H5" s="35"/>
      <c r="I5" s="35"/>
      <c r="J5" s="35"/>
      <c r="K5" s="36"/>
    </row>
    <row r="6">
      <c r="D6" s="37" t="s">
        <v>52</v>
      </c>
      <c r="E6" s="38"/>
      <c r="F6" s="38"/>
      <c r="G6" s="38"/>
      <c r="H6" s="38"/>
      <c r="I6" s="38"/>
      <c r="J6" s="38"/>
      <c r="K6" s="39"/>
    </row>
    <row r="7">
      <c r="D7" s="40" t="s">
        <v>53</v>
      </c>
      <c r="E7" s="30" t="s">
        <v>54</v>
      </c>
      <c r="F7" s="41" t="s">
        <v>55</v>
      </c>
      <c r="G7" s="30" t="s">
        <v>56</v>
      </c>
      <c r="H7" s="42"/>
      <c r="I7" s="42"/>
      <c r="J7" s="42"/>
      <c r="K7" s="43"/>
    </row>
    <row r="8">
      <c r="B8" s="44"/>
      <c r="C8" s="44"/>
    </row>
    <row r="9">
      <c r="B9" s="44"/>
      <c r="C9" s="44"/>
      <c r="D9" s="45" t="s">
        <v>57</v>
      </c>
      <c r="E9" s="46" t="s">
        <v>58</v>
      </c>
      <c r="F9" s="46" t="s">
        <v>59</v>
      </c>
      <c r="G9" s="46" t="s">
        <v>60</v>
      </c>
      <c r="H9" s="46" t="s">
        <v>61</v>
      </c>
      <c r="I9" s="46" t="s">
        <v>62</v>
      </c>
    </row>
    <row r="10">
      <c r="B10" s="44"/>
      <c r="C10" s="44"/>
    </row>
    <row r="11">
      <c r="D11" s="47" t="s">
        <v>63</v>
      </c>
      <c r="E11" s="48" t="s">
        <v>64</v>
      </c>
      <c r="F11" s="49"/>
      <c r="G11" s="49"/>
      <c r="H11" s="49"/>
      <c r="I11" s="49"/>
      <c r="J11" s="50"/>
    </row>
    <row r="12">
      <c r="D12" s="51"/>
      <c r="E12" s="52" t="s">
        <v>7</v>
      </c>
      <c r="F12" s="52"/>
      <c r="G12" s="52" t="s">
        <v>65</v>
      </c>
      <c r="H12" s="52"/>
      <c r="I12" s="52" t="s">
        <v>22</v>
      </c>
      <c r="J12" s="53"/>
    </row>
    <row r="13">
      <c r="B13" s="54"/>
      <c r="D13" s="55"/>
      <c r="E13" s="45" t="s">
        <v>66</v>
      </c>
      <c r="F13" s="45" t="s">
        <v>67</v>
      </c>
      <c r="G13" s="45" t="s">
        <v>66</v>
      </c>
      <c r="H13" s="45" t="s">
        <v>67</v>
      </c>
      <c r="I13" s="45" t="s">
        <v>66</v>
      </c>
      <c r="J13" s="56" t="s">
        <v>67</v>
      </c>
    </row>
    <row r="14" ht="51.0" customHeight="1">
      <c r="B14" s="57"/>
      <c r="D14" s="58" t="s">
        <v>68</v>
      </c>
      <c r="E14" s="59">
        <v>50.0</v>
      </c>
      <c r="F14" s="59">
        <v>60.0</v>
      </c>
      <c r="G14" s="59">
        <v>50.0</v>
      </c>
      <c r="H14" s="60" t="s">
        <v>69</v>
      </c>
      <c r="I14" s="59">
        <v>50.0</v>
      </c>
      <c r="J14" s="61" t="s">
        <v>70</v>
      </c>
    </row>
    <row r="15" ht="48.0" customHeight="1">
      <c r="B15" s="57"/>
      <c r="D15" s="58" t="s">
        <v>71</v>
      </c>
      <c r="E15" s="59">
        <v>60.0</v>
      </c>
      <c r="F15" s="59">
        <v>60.0</v>
      </c>
      <c r="G15" s="59">
        <v>60.0</v>
      </c>
      <c r="H15" s="60" t="s">
        <v>69</v>
      </c>
      <c r="I15" s="59">
        <v>60.0</v>
      </c>
      <c r="J15" s="61" t="s">
        <v>70</v>
      </c>
    </row>
    <row r="16" ht="48.0" customHeight="1">
      <c r="B16" s="57"/>
      <c r="D16" s="62" t="s">
        <v>72</v>
      </c>
      <c r="E16" s="63">
        <v>70.0</v>
      </c>
      <c r="F16" s="63">
        <v>60.0</v>
      </c>
      <c r="G16" s="63">
        <v>70.0</v>
      </c>
      <c r="H16" s="64" t="s">
        <v>69</v>
      </c>
      <c r="I16" s="63">
        <v>70.0</v>
      </c>
      <c r="J16" s="65" t="s">
        <v>70</v>
      </c>
    </row>
    <row r="19">
      <c r="E19" s="66" t="s">
        <v>73</v>
      </c>
    </row>
    <row r="21" ht="15.75" customHeight="1">
      <c r="D21" s="67" t="s">
        <v>74</v>
      </c>
      <c r="E21" s="68" t="s">
        <v>7</v>
      </c>
      <c r="F21" s="69"/>
      <c r="G21" s="70" t="s">
        <v>75</v>
      </c>
      <c r="H21" s="69"/>
      <c r="I21" s="70" t="s">
        <v>76</v>
      </c>
      <c r="J21" s="50"/>
    </row>
    <row r="22" ht="51.0" customHeight="1">
      <c r="D22" s="71" t="s">
        <v>68</v>
      </c>
      <c r="E22" s="72" t="s">
        <v>77</v>
      </c>
      <c r="F22" s="2"/>
      <c r="G22" s="72" t="s">
        <v>78</v>
      </c>
      <c r="H22" s="2"/>
      <c r="I22" s="73" t="s">
        <v>79</v>
      </c>
      <c r="J22" s="36"/>
    </row>
    <row r="23" ht="45.75" customHeight="1">
      <c r="D23" s="71" t="s">
        <v>71</v>
      </c>
      <c r="E23" s="72" t="s">
        <v>80</v>
      </c>
      <c r="F23" s="2"/>
      <c r="G23" s="72" t="s">
        <v>81</v>
      </c>
      <c r="H23" s="2"/>
      <c r="I23" s="73" t="s">
        <v>82</v>
      </c>
      <c r="J23" s="36"/>
    </row>
    <row r="24" ht="46.5" customHeight="1">
      <c r="D24" s="74" t="s">
        <v>72</v>
      </c>
      <c r="E24" s="75" t="s">
        <v>83</v>
      </c>
      <c r="F24" s="76"/>
      <c r="G24" s="75" t="s">
        <v>84</v>
      </c>
      <c r="H24" s="76"/>
      <c r="I24" s="77" t="s">
        <v>85</v>
      </c>
      <c r="J24" s="78"/>
    </row>
    <row r="25" ht="15.75" customHeight="1"/>
    <row r="26" ht="15.75" customHeight="1">
      <c r="F26" s="79" t="s">
        <v>86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E1:J1"/>
    <mergeCell ref="E2:J2"/>
    <mergeCell ref="E3:J3"/>
    <mergeCell ref="D5:K5"/>
    <mergeCell ref="D11:D13"/>
    <mergeCell ref="E11:J11"/>
    <mergeCell ref="E19:J19"/>
    <mergeCell ref="G23:H23"/>
    <mergeCell ref="I23:J23"/>
    <mergeCell ref="E24:F24"/>
    <mergeCell ref="G24:H24"/>
    <mergeCell ref="I24:J24"/>
    <mergeCell ref="E21:F21"/>
    <mergeCell ref="G21:H21"/>
    <mergeCell ref="I21:J21"/>
    <mergeCell ref="E22:F22"/>
    <mergeCell ref="G22:H22"/>
    <mergeCell ref="I22:J22"/>
    <mergeCell ref="E23:F2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22.57"/>
    <col customWidth="1" min="3" max="3" width="33.86"/>
    <col customWidth="1" min="4" max="15" width="6.29"/>
    <col customWidth="1" min="16" max="16" width="6.43"/>
    <col customWidth="1" min="17" max="28" width="5.86"/>
    <col customWidth="1" min="29" max="29" width="6.0"/>
    <col customWidth="1" min="30" max="41" width="6.43"/>
    <col customWidth="1" min="42" max="42" width="6.57"/>
    <col customWidth="1" min="43" max="43" width="59.57"/>
    <col customWidth="1" min="44" max="44" width="12.71"/>
    <col customWidth="1" min="45" max="45" width="8.71"/>
    <col customWidth="1" min="46" max="46" width="18.86"/>
    <col customWidth="1" min="47" max="47" width="10.57"/>
    <col customWidth="1" min="48" max="48" width="10.43"/>
    <col customWidth="1" min="49" max="49" width="16.0"/>
    <col customWidth="1" min="50" max="50" width="18.86"/>
    <col customWidth="1" min="51" max="51" width="11.86"/>
    <col customWidth="1" min="52" max="52" width="12.71"/>
    <col customWidth="1" min="53" max="53" width="8.71"/>
    <col customWidth="1" min="54" max="54" width="18.86"/>
    <col customWidth="1" min="55" max="55" width="8.71"/>
    <col customWidth="1" min="56" max="56" width="15.57"/>
    <col customWidth="1" min="57" max="57" width="8.71"/>
    <col customWidth="1" min="58" max="58" width="18.86"/>
    <col customWidth="1" min="59" max="59" width="8.71"/>
    <col customWidth="1" min="60" max="60" width="12.86"/>
    <col customWidth="1" min="61" max="61" width="8.71"/>
    <col customWidth="1" min="62" max="62" width="18.86"/>
    <col customWidth="1" min="63" max="81" width="8.71"/>
  </cols>
  <sheetData>
    <row r="1">
      <c r="A1" s="80" t="s">
        <v>44</v>
      </c>
      <c r="AR1" s="80" t="s">
        <v>44</v>
      </c>
    </row>
    <row r="2">
      <c r="A2" s="81" t="str">
        <f>'set target form'!E2</f>
        <v>DEPARTMENT OF PHYSICS</v>
      </c>
      <c r="AR2" s="81" t="str">
        <f>'set target form'!E2</f>
        <v>DEPARTMENT OF PHYSICS</v>
      </c>
      <c r="BL2" s="82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</row>
    <row r="3">
      <c r="A3" s="84" t="s">
        <v>87</v>
      </c>
      <c r="AR3" s="84" t="s">
        <v>88</v>
      </c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</row>
    <row r="4">
      <c r="A4" s="84"/>
      <c r="B4" s="85" t="s">
        <v>47</v>
      </c>
      <c r="C4" s="86" t="str">
        <f>'set target form'!E4</f>
        <v>21PHY22</v>
      </c>
      <c r="D4" s="87" t="s">
        <v>49</v>
      </c>
      <c r="E4" s="35"/>
      <c r="F4" s="35"/>
      <c r="G4" s="35"/>
      <c r="H4" s="35"/>
      <c r="I4" s="2"/>
      <c r="J4" s="88" t="str">
        <f>'set target form'!G4</f>
        <v>ENGINEERING PHYSICS</v>
      </c>
      <c r="K4" s="35"/>
      <c r="L4" s="35"/>
      <c r="M4" s="35"/>
      <c r="N4" s="35"/>
      <c r="O4" s="35"/>
      <c r="P4" s="2"/>
      <c r="Q4" s="87" t="s">
        <v>53</v>
      </c>
      <c r="R4" s="35"/>
      <c r="S4" s="35"/>
      <c r="T4" s="35"/>
      <c r="U4" s="35"/>
      <c r="V4" s="35"/>
      <c r="W4" s="35"/>
      <c r="X4" s="2"/>
      <c r="Y4" s="88" t="str">
        <f>'set target form'!E7</f>
        <v>2021-22</v>
      </c>
      <c r="Z4" s="35"/>
      <c r="AA4" s="35"/>
      <c r="AB4" s="2"/>
      <c r="AC4" s="89"/>
      <c r="AD4" s="35"/>
      <c r="AE4" s="35"/>
      <c r="AF4" s="35"/>
      <c r="AG4" s="2"/>
      <c r="AH4" s="90"/>
      <c r="AI4" s="90"/>
      <c r="AJ4" s="90"/>
      <c r="AK4" s="90"/>
      <c r="AL4" s="90"/>
      <c r="AM4" s="90"/>
      <c r="AN4" s="90"/>
      <c r="AO4" s="90"/>
      <c r="AP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</row>
    <row r="5">
      <c r="A5" s="84"/>
      <c r="B5" s="91" t="s">
        <v>51</v>
      </c>
      <c r="C5" s="2"/>
      <c r="D5" s="88" t="str">
        <f>'set target form'!D6</f>
        <v>Nithin H M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2"/>
      <c r="AH5" s="90"/>
      <c r="AI5" s="90"/>
      <c r="AJ5" s="90"/>
      <c r="AK5" s="90"/>
      <c r="AL5" s="90"/>
      <c r="AM5" s="90"/>
      <c r="AN5" s="90"/>
      <c r="AO5" s="90"/>
      <c r="AP5" s="84"/>
      <c r="AR5" s="88" t="s">
        <v>47</v>
      </c>
      <c r="AS5" s="2"/>
      <c r="AT5" s="88" t="str">
        <f>'set target form'!E4</f>
        <v>21PHY22</v>
      </c>
      <c r="AU5" s="2"/>
      <c r="AV5" s="88" t="s">
        <v>49</v>
      </c>
      <c r="AW5" s="2"/>
      <c r="AX5" s="88" t="str">
        <f>'set target form'!G4</f>
        <v>ENGINEERING PHYSICS</v>
      </c>
      <c r="AY5" s="35"/>
      <c r="AZ5" s="35"/>
      <c r="BA5" s="35"/>
      <c r="BB5" s="2"/>
      <c r="BC5" s="86" t="s">
        <v>53</v>
      </c>
      <c r="BE5" s="92" t="str">
        <f>'set target form'!E7</f>
        <v>2021-22</v>
      </c>
      <c r="BF5" s="35"/>
      <c r="BG5" s="2"/>
      <c r="BH5" s="86" t="s">
        <v>55</v>
      </c>
      <c r="BI5" s="93" t="str">
        <f>'set target form'!G7</f>
        <v>II</v>
      </c>
      <c r="BJ5" s="2"/>
      <c r="BK5" s="84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</row>
    <row r="6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R6" s="94" t="s">
        <v>51</v>
      </c>
      <c r="AS6" s="45"/>
      <c r="AT6" s="86"/>
      <c r="AU6" s="93" t="str">
        <f>'set target form'!D6</f>
        <v>Nithin H M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2"/>
      <c r="BK6" s="84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</row>
    <row r="7">
      <c r="A7" s="95"/>
      <c r="B7" s="95"/>
      <c r="C7" s="96" t="s">
        <v>89</v>
      </c>
      <c r="D7" s="97">
        <v>1.0</v>
      </c>
      <c r="E7" s="97">
        <v>1.0</v>
      </c>
      <c r="F7" s="97">
        <v>1.0</v>
      </c>
      <c r="G7" s="97">
        <v>1.0</v>
      </c>
      <c r="H7" s="97">
        <v>1.0</v>
      </c>
      <c r="I7" s="97">
        <v>1.0</v>
      </c>
      <c r="J7" s="97">
        <v>2.0</v>
      </c>
      <c r="K7" s="97">
        <v>2.0</v>
      </c>
      <c r="L7" s="97">
        <v>2.0</v>
      </c>
      <c r="M7" s="97">
        <v>2.0</v>
      </c>
      <c r="N7" s="97">
        <v>2.0</v>
      </c>
      <c r="O7" s="97">
        <v>2.0</v>
      </c>
      <c r="P7" s="52"/>
      <c r="Q7" s="97">
        <v>3.0</v>
      </c>
      <c r="R7" s="97">
        <v>3.0</v>
      </c>
      <c r="S7" s="97">
        <v>3.0</v>
      </c>
      <c r="T7" s="97">
        <v>3.0</v>
      </c>
      <c r="U7" s="97">
        <v>3.0</v>
      </c>
      <c r="V7" s="97">
        <v>3.0</v>
      </c>
      <c r="W7" s="97">
        <v>3.0</v>
      </c>
      <c r="X7" s="97">
        <v>4.0</v>
      </c>
      <c r="Y7" s="97">
        <v>4.0</v>
      </c>
      <c r="Z7" s="97">
        <v>3.0</v>
      </c>
      <c r="AA7" s="97">
        <v>4.0</v>
      </c>
      <c r="AB7" s="97">
        <v>3.0</v>
      </c>
      <c r="AC7" s="45"/>
      <c r="AD7" s="98">
        <v>4.0</v>
      </c>
      <c r="AE7" s="98">
        <v>4.0</v>
      </c>
      <c r="AF7" s="98">
        <v>4.0</v>
      </c>
      <c r="AG7" s="98">
        <v>4.0</v>
      </c>
      <c r="AH7" s="98">
        <v>4.0</v>
      </c>
      <c r="AI7" s="98">
        <v>4.0</v>
      </c>
      <c r="AJ7" s="98">
        <v>5.0</v>
      </c>
      <c r="AK7" s="98">
        <v>5.0</v>
      </c>
      <c r="AL7" s="98">
        <v>5.0</v>
      </c>
      <c r="AM7" s="98">
        <v>5.0</v>
      </c>
      <c r="AN7" s="98">
        <v>5.0</v>
      </c>
      <c r="AO7" s="98">
        <v>5.0</v>
      </c>
      <c r="AP7" s="45"/>
    </row>
    <row r="8">
      <c r="A8" s="99"/>
      <c r="B8" s="2"/>
      <c r="C8" s="96" t="s">
        <v>89</v>
      </c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52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100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45"/>
    </row>
    <row r="9">
      <c r="A9" s="52"/>
      <c r="B9" s="52"/>
      <c r="C9" s="96" t="s">
        <v>90</v>
      </c>
      <c r="D9" s="102">
        <v>10.0</v>
      </c>
      <c r="E9" s="102">
        <v>5.0</v>
      </c>
      <c r="F9" s="102">
        <v>5.0</v>
      </c>
      <c r="G9" s="102">
        <v>10.0</v>
      </c>
      <c r="H9" s="102">
        <v>5.0</v>
      </c>
      <c r="I9" s="102">
        <v>5.0</v>
      </c>
      <c r="J9" s="102">
        <v>10.0</v>
      </c>
      <c r="K9" s="102">
        <v>5.0</v>
      </c>
      <c r="L9" s="102">
        <v>5.0</v>
      </c>
      <c r="M9" s="102">
        <v>10.0</v>
      </c>
      <c r="N9" s="102">
        <v>5.0</v>
      </c>
      <c r="O9" s="102">
        <v>5.0</v>
      </c>
      <c r="P9" s="52">
        <f>SUM(D9:O9)/2</f>
        <v>40</v>
      </c>
      <c r="Q9" s="102">
        <v>10.0</v>
      </c>
      <c r="R9" s="102">
        <v>5.0</v>
      </c>
      <c r="S9" s="102">
        <v>5.0</v>
      </c>
      <c r="T9" s="102">
        <v>10.0</v>
      </c>
      <c r="U9" s="102">
        <v>5.0</v>
      </c>
      <c r="V9" s="102">
        <v>5.0</v>
      </c>
      <c r="W9" s="102">
        <v>10.0</v>
      </c>
      <c r="X9" s="102">
        <v>5.0</v>
      </c>
      <c r="Y9" s="102">
        <v>5.0</v>
      </c>
      <c r="Z9" s="102">
        <v>10.0</v>
      </c>
      <c r="AA9" s="102">
        <v>5.0</v>
      </c>
      <c r="AB9" s="102">
        <v>5.0</v>
      </c>
      <c r="AC9" s="52">
        <f>SUM(Q9:AB9)/2</f>
        <v>40</v>
      </c>
      <c r="AD9" s="102">
        <v>10.0</v>
      </c>
      <c r="AE9" s="102">
        <v>5.0</v>
      </c>
      <c r="AF9" s="102">
        <v>5.0</v>
      </c>
      <c r="AG9" s="102">
        <v>10.0</v>
      </c>
      <c r="AH9" s="102">
        <v>5.0</v>
      </c>
      <c r="AI9" s="102">
        <v>5.0</v>
      </c>
      <c r="AJ9" s="102">
        <v>10.0</v>
      </c>
      <c r="AK9" s="102">
        <v>5.0</v>
      </c>
      <c r="AL9" s="102">
        <v>5.0</v>
      </c>
      <c r="AM9" s="102">
        <v>10.0</v>
      </c>
      <c r="AN9" s="102">
        <v>5.0</v>
      </c>
      <c r="AO9" s="102">
        <v>5.0</v>
      </c>
      <c r="AP9" s="52">
        <f>SUM(AD9:AO9)/2</f>
        <v>40</v>
      </c>
    </row>
    <row r="10">
      <c r="A10" s="52"/>
      <c r="B10" s="52"/>
      <c r="C10" s="103"/>
      <c r="D10" s="104" t="s">
        <v>91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2"/>
      <c r="P10" s="8"/>
      <c r="Q10" s="104" t="s">
        <v>92</v>
      </c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"/>
      <c r="AC10" s="8"/>
      <c r="AD10" s="104" t="s">
        <v>93</v>
      </c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2"/>
      <c r="AP10" s="52"/>
      <c r="AR10" s="99" t="str">
        <f>'set target form'!E9</f>
        <v>CO1</v>
      </c>
      <c r="AS10" s="35"/>
      <c r="AT10" s="2"/>
      <c r="AV10" s="99" t="str">
        <f>'set target form'!F9</f>
        <v>CO2</v>
      </c>
      <c r="AW10" s="35"/>
      <c r="AX10" s="2"/>
      <c r="AZ10" s="99" t="str">
        <f>'set target form'!G9</f>
        <v>CO3</v>
      </c>
      <c r="BA10" s="35"/>
      <c r="BB10" s="2"/>
      <c r="BD10" s="99" t="str">
        <f>'set target form'!H9</f>
        <v>CO4</v>
      </c>
      <c r="BE10" s="35"/>
      <c r="BF10" s="2"/>
      <c r="BH10" s="99" t="str">
        <f>'set target form'!I9</f>
        <v>CO5</v>
      </c>
      <c r="BI10" s="35"/>
      <c r="BJ10" s="2"/>
    </row>
    <row r="11">
      <c r="A11" s="105" t="s">
        <v>94</v>
      </c>
      <c r="B11" s="105" t="s">
        <v>95</v>
      </c>
      <c r="C11" s="106" t="s">
        <v>96</v>
      </c>
      <c r="D11" s="107" t="s">
        <v>97</v>
      </c>
      <c r="E11" s="107" t="s">
        <v>98</v>
      </c>
      <c r="F11" s="107" t="s">
        <v>99</v>
      </c>
      <c r="G11" s="107" t="s">
        <v>100</v>
      </c>
      <c r="H11" s="107" t="s">
        <v>101</v>
      </c>
      <c r="I11" s="107" t="s">
        <v>102</v>
      </c>
      <c r="J11" s="107" t="s">
        <v>103</v>
      </c>
      <c r="K11" s="107" t="s">
        <v>104</v>
      </c>
      <c r="L11" s="107" t="s">
        <v>105</v>
      </c>
      <c r="M11" s="107" t="s">
        <v>106</v>
      </c>
      <c r="N11" s="107" t="s">
        <v>107</v>
      </c>
      <c r="O11" s="107" t="s">
        <v>108</v>
      </c>
      <c r="P11" s="108"/>
      <c r="Q11" s="107" t="s">
        <v>97</v>
      </c>
      <c r="R11" s="107" t="s">
        <v>98</v>
      </c>
      <c r="S11" s="107" t="s">
        <v>99</v>
      </c>
      <c r="T11" s="107" t="s">
        <v>100</v>
      </c>
      <c r="U11" s="107" t="s">
        <v>101</v>
      </c>
      <c r="V11" s="107" t="s">
        <v>102</v>
      </c>
      <c r="W11" s="107" t="s">
        <v>103</v>
      </c>
      <c r="X11" s="107" t="s">
        <v>104</v>
      </c>
      <c r="Y11" s="107" t="s">
        <v>105</v>
      </c>
      <c r="Z11" s="107" t="s">
        <v>106</v>
      </c>
      <c r="AA11" s="107" t="s">
        <v>107</v>
      </c>
      <c r="AB11" s="107" t="s">
        <v>108</v>
      </c>
      <c r="AC11" s="108"/>
      <c r="AD11" s="107" t="s">
        <v>97</v>
      </c>
      <c r="AE11" s="107" t="s">
        <v>98</v>
      </c>
      <c r="AF11" s="107" t="s">
        <v>100</v>
      </c>
      <c r="AG11" s="107" t="s">
        <v>101</v>
      </c>
      <c r="AH11" s="107" t="s">
        <v>103</v>
      </c>
      <c r="AI11" s="107" t="s">
        <v>104</v>
      </c>
      <c r="AJ11" s="107" t="s">
        <v>106</v>
      </c>
      <c r="AK11" s="107" t="s">
        <v>107</v>
      </c>
      <c r="AL11" s="107" t="s">
        <v>109</v>
      </c>
      <c r="AM11" s="107" t="s">
        <v>110</v>
      </c>
      <c r="AN11" s="107" t="s">
        <v>111</v>
      </c>
      <c r="AO11" s="107" t="s">
        <v>112</v>
      </c>
      <c r="AP11" s="95"/>
      <c r="AR11" s="52" t="s">
        <v>113</v>
      </c>
      <c r="AS11" s="45" t="s">
        <v>114</v>
      </c>
      <c r="AT11" s="52" t="s">
        <v>115</v>
      </c>
      <c r="AV11" s="52" t="s">
        <v>113</v>
      </c>
      <c r="AW11" s="45" t="s">
        <v>114</v>
      </c>
      <c r="AX11" s="52" t="s">
        <v>115</v>
      </c>
      <c r="AZ11" s="52" t="s">
        <v>113</v>
      </c>
      <c r="BA11" s="45" t="s">
        <v>114</v>
      </c>
      <c r="BB11" s="52" t="s">
        <v>115</v>
      </c>
      <c r="BD11" s="52" t="s">
        <v>113</v>
      </c>
      <c r="BE11" s="45" t="s">
        <v>114</v>
      </c>
      <c r="BF11" s="52" t="s">
        <v>115</v>
      </c>
      <c r="BH11" s="52" t="s">
        <v>113</v>
      </c>
      <c r="BI11" s="45" t="s">
        <v>114</v>
      </c>
      <c r="BJ11" s="52" t="s">
        <v>115</v>
      </c>
    </row>
    <row r="12">
      <c r="A12" s="52">
        <v>1.0</v>
      </c>
      <c r="B12" s="45"/>
      <c r="C12" s="45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52">
        <f t="shared" ref="P12:P235" si="1">SUM(D12:O12)</f>
        <v>0</v>
      </c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52">
        <f t="shared" ref="AC12:AC235" si="2">SUM(Q12:AB12)</f>
        <v>0</v>
      </c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52">
        <f t="shared" ref="AP12:AP235" si="3">SUM(AD12:AO12)</f>
        <v>0</v>
      </c>
      <c r="AR12" s="45">
        <f t="shared" ref="AR12:AR235" si="4">SUMIF($D$8:$AO$8,1,$D12:$AO12)+SUMIF($D$7:$AO$7,1,$D12:$AO12)</f>
        <v>0</v>
      </c>
      <c r="AS12" s="45">
        <f t="shared" ref="AS12:AS235" si="5">SUMIFS($D$9:$AO$9,$D$8:$AO$8,1,$D12:$AO12,"&gt;="&amp;0)+SUMIFS($D$9:$AO$9,$D$7:$AO$7,1,$D12:$AO12,"&gt;="&amp;0)</f>
        <v>0</v>
      </c>
      <c r="AT12" s="45" t="str">
        <f t="shared" ref="AT12:AT235" si="6">AR12/AS12*100</f>
        <v>#DIV/0!</v>
      </c>
      <c r="AV12" s="45">
        <f t="shared" ref="AV12:AV235" si="7">SUMIF($D$8:$AO$8,2,$D12:$AO12)+SUMIF($D$7:$AO$7,2,$D12:$AO12)</f>
        <v>0</v>
      </c>
      <c r="AW12" s="45">
        <f t="shared" ref="AW12:AW235" si="8">SUMIFS($D$9:$AO$9,$D$8:$AO$8,2,$D12:$AO12,"&gt;="&amp;0)+SUMIFS($D$9:$AO$9,$D$7:$AO$7,2,$D12:$AO12,"&gt;="&amp;0)</f>
        <v>0</v>
      </c>
      <c r="AX12" s="45" t="str">
        <f t="shared" ref="AX12:AX235" si="9">AV12/AW12*100</f>
        <v>#DIV/0!</v>
      </c>
      <c r="AZ12" s="45">
        <f t="shared" ref="AZ12:AZ235" si="10">SUMIF($D$8:$AO$8,3,$D12:$AO12)+SUMIF($D$7:$AO$7,3,$D12:$AO12)</f>
        <v>0</v>
      </c>
      <c r="BA12" s="45">
        <f t="shared" ref="BA12:BA235" si="11">SUMIFS($D$9:$AO$9,$D$8:$AO$8,3,$D12:$AO12,"&gt;="&amp;0)+SUMIFS($D$9:$AO$9,$D$7:$AO$7,3,$D12:$AO12,"&gt;="&amp;0)</f>
        <v>0</v>
      </c>
      <c r="BB12" s="45" t="str">
        <f t="shared" ref="BB12:BB235" si="12">AZ12/BA12*100</f>
        <v>#DIV/0!</v>
      </c>
      <c r="BD12" s="45">
        <f t="shared" ref="BD12:BD235" si="13">SUMIF($D$8:$AO$8,4,$D12:$AO12)+SUMIF($D$7:$AO$7,4,$D12:$AO12)</f>
        <v>0</v>
      </c>
      <c r="BE12" s="45">
        <f t="shared" ref="BE12:BE235" si="14">SUMIFS($D$9:$AO$9,$D$8:$AO$8,4,$D12:$AO12,"&gt;="&amp;0)+SUMIFS($D$9:$AO$9,$D$7:$AO$7,4,$D12:$AO12,"&gt;="&amp;0)</f>
        <v>0</v>
      </c>
      <c r="BF12" s="45" t="str">
        <f t="shared" ref="BF12:BF235" si="15">BD12/BE12*100</f>
        <v>#DIV/0!</v>
      </c>
      <c r="BH12" s="45">
        <f t="shared" ref="BH12:BH235" si="16">SUMIF($D$8:$AO$8,5,$D12:$AO12)+SUMIF($D$7:$AO$7,5,$D12:$AO12)</f>
        <v>0</v>
      </c>
      <c r="BI12" s="45">
        <f t="shared" ref="BI12:BI235" si="17">SUMIFS($D$9:$AO$9,$D$8:$AO$8,5,$D12:$AO12,"&gt;="&amp;0)+SUMIFS($D$9:$AO$9,$D$7:$AO$7,5,$D12:$AO12,"&gt;="&amp;0)</f>
        <v>0</v>
      </c>
      <c r="BJ12" s="45" t="str">
        <f t="shared" ref="BJ12:BJ235" si="18">BH12/BI12*100</f>
        <v>#DIV/0!</v>
      </c>
    </row>
    <row r="13">
      <c r="A13" s="52">
        <v>2.0</v>
      </c>
      <c r="B13" s="45"/>
      <c r="C13" s="45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52">
        <f t="shared" si="1"/>
        <v>0</v>
      </c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52">
        <f t="shared" si="2"/>
        <v>0</v>
      </c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52">
        <f t="shared" si="3"/>
        <v>0</v>
      </c>
      <c r="AR13" s="45">
        <f t="shared" si="4"/>
        <v>0</v>
      </c>
      <c r="AS13" s="45">
        <f t="shared" si="5"/>
        <v>0</v>
      </c>
      <c r="AT13" s="45" t="str">
        <f t="shared" si="6"/>
        <v>#DIV/0!</v>
      </c>
      <c r="AV13" s="45">
        <f t="shared" si="7"/>
        <v>0</v>
      </c>
      <c r="AW13" s="45">
        <f t="shared" si="8"/>
        <v>0</v>
      </c>
      <c r="AX13" s="45" t="str">
        <f t="shared" si="9"/>
        <v>#DIV/0!</v>
      </c>
      <c r="AZ13" s="45">
        <f t="shared" si="10"/>
        <v>0</v>
      </c>
      <c r="BA13" s="45">
        <f t="shared" si="11"/>
        <v>0</v>
      </c>
      <c r="BB13" s="45" t="str">
        <f t="shared" si="12"/>
        <v>#DIV/0!</v>
      </c>
      <c r="BD13" s="45">
        <f t="shared" si="13"/>
        <v>0</v>
      </c>
      <c r="BE13" s="45">
        <f t="shared" si="14"/>
        <v>0</v>
      </c>
      <c r="BF13" s="45" t="str">
        <f t="shared" si="15"/>
        <v>#DIV/0!</v>
      </c>
      <c r="BH13" s="45">
        <f t="shared" si="16"/>
        <v>0</v>
      </c>
      <c r="BI13" s="45">
        <f t="shared" si="17"/>
        <v>0</v>
      </c>
      <c r="BJ13" s="45" t="str">
        <f t="shared" si="18"/>
        <v>#DIV/0!</v>
      </c>
    </row>
    <row r="14">
      <c r="A14" s="52">
        <v>3.0</v>
      </c>
      <c r="B14" s="45"/>
      <c r="C14" s="45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52">
        <f t="shared" si="1"/>
        <v>0</v>
      </c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52">
        <f t="shared" si="2"/>
        <v>0</v>
      </c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52">
        <f t="shared" si="3"/>
        <v>0</v>
      </c>
      <c r="AR14" s="45">
        <f t="shared" si="4"/>
        <v>0</v>
      </c>
      <c r="AS14" s="45">
        <f t="shared" si="5"/>
        <v>0</v>
      </c>
      <c r="AT14" s="45" t="str">
        <f t="shared" si="6"/>
        <v>#DIV/0!</v>
      </c>
      <c r="AV14" s="45">
        <f t="shared" si="7"/>
        <v>0</v>
      </c>
      <c r="AW14" s="45">
        <f t="shared" si="8"/>
        <v>0</v>
      </c>
      <c r="AX14" s="45" t="str">
        <f t="shared" si="9"/>
        <v>#DIV/0!</v>
      </c>
      <c r="AZ14" s="45">
        <f t="shared" si="10"/>
        <v>0</v>
      </c>
      <c r="BA14" s="45">
        <f t="shared" si="11"/>
        <v>0</v>
      </c>
      <c r="BB14" s="45" t="str">
        <f t="shared" si="12"/>
        <v>#DIV/0!</v>
      </c>
      <c r="BD14" s="45">
        <f t="shared" si="13"/>
        <v>0</v>
      </c>
      <c r="BE14" s="45">
        <f t="shared" si="14"/>
        <v>0</v>
      </c>
      <c r="BF14" s="45" t="str">
        <f t="shared" si="15"/>
        <v>#DIV/0!</v>
      </c>
      <c r="BH14" s="45">
        <f t="shared" si="16"/>
        <v>0</v>
      </c>
      <c r="BI14" s="45">
        <f t="shared" si="17"/>
        <v>0</v>
      </c>
      <c r="BJ14" s="45" t="str">
        <f t="shared" si="18"/>
        <v>#DIV/0!</v>
      </c>
    </row>
    <row r="15">
      <c r="A15" s="52">
        <v>4.0</v>
      </c>
      <c r="B15" s="45"/>
      <c r="C15" s="45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52">
        <f t="shared" si="1"/>
        <v>0</v>
      </c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52">
        <f t="shared" si="2"/>
        <v>0</v>
      </c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52">
        <f t="shared" si="3"/>
        <v>0</v>
      </c>
      <c r="AR15" s="45">
        <f t="shared" si="4"/>
        <v>0</v>
      </c>
      <c r="AS15" s="45">
        <f t="shared" si="5"/>
        <v>0</v>
      </c>
      <c r="AT15" s="45" t="str">
        <f t="shared" si="6"/>
        <v>#DIV/0!</v>
      </c>
      <c r="AV15" s="45">
        <f t="shared" si="7"/>
        <v>0</v>
      </c>
      <c r="AW15" s="45">
        <f t="shared" si="8"/>
        <v>0</v>
      </c>
      <c r="AX15" s="45" t="str">
        <f t="shared" si="9"/>
        <v>#DIV/0!</v>
      </c>
      <c r="AZ15" s="45">
        <f t="shared" si="10"/>
        <v>0</v>
      </c>
      <c r="BA15" s="45">
        <f t="shared" si="11"/>
        <v>0</v>
      </c>
      <c r="BB15" s="45" t="str">
        <f t="shared" si="12"/>
        <v>#DIV/0!</v>
      </c>
      <c r="BD15" s="45">
        <f t="shared" si="13"/>
        <v>0</v>
      </c>
      <c r="BE15" s="45">
        <f t="shared" si="14"/>
        <v>0</v>
      </c>
      <c r="BF15" s="45" t="str">
        <f t="shared" si="15"/>
        <v>#DIV/0!</v>
      </c>
      <c r="BH15" s="45">
        <f t="shared" si="16"/>
        <v>0</v>
      </c>
      <c r="BI15" s="45">
        <f t="shared" si="17"/>
        <v>0</v>
      </c>
      <c r="BJ15" s="45" t="str">
        <f t="shared" si="18"/>
        <v>#DIV/0!</v>
      </c>
    </row>
    <row r="16">
      <c r="A16" s="52">
        <v>5.0</v>
      </c>
      <c r="B16" s="45"/>
      <c r="C16" s="45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52">
        <f t="shared" si="1"/>
        <v>0</v>
      </c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52">
        <f t="shared" si="2"/>
        <v>0</v>
      </c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52">
        <f t="shared" si="3"/>
        <v>0</v>
      </c>
      <c r="AR16" s="45">
        <f t="shared" si="4"/>
        <v>0</v>
      </c>
      <c r="AS16" s="45">
        <f t="shared" si="5"/>
        <v>0</v>
      </c>
      <c r="AT16" s="45" t="str">
        <f t="shared" si="6"/>
        <v>#DIV/0!</v>
      </c>
      <c r="AV16" s="45">
        <f t="shared" si="7"/>
        <v>0</v>
      </c>
      <c r="AW16" s="45">
        <f t="shared" si="8"/>
        <v>0</v>
      </c>
      <c r="AX16" s="45" t="str">
        <f t="shared" si="9"/>
        <v>#DIV/0!</v>
      </c>
      <c r="AZ16" s="45">
        <f t="shared" si="10"/>
        <v>0</v>
      </c>
      <c r="BA16" s="45">
        <f t="shared" si="11"/>
        <v>0</v>
      </c>
      <c r="BB16" s="45" t="str">
        <f t="shared" si="12"/>
        <v>#DIV/0!</v>
      </c>
      <c r="BD16" s="45">
        <f t="shared" si="13"/>
        <v>0</v>
      </c>
      <c r="BE16" s="45">
        <f t="shared" si="14"/>
        <v>0</v>
      </c>
      <c r="BF16" s="45" t="str">
        <f t="shared" si="15"/>
        <v>#DIV/0!</v>
      </c>
      <c r="BH16" s="45">
        <f t="shared" si="16"/>
        <v>0</v>
      </c>
      <c r="BI16" s="45">
        <f t="shared" si="17"/>
        <v>0</v>
      </c>
      <c r="BJ16" s="45" t="str">
        <f t="shared" si="18"/>
        <v>#DIV/0!</v>
      </c>
    </row>
    <row r="17">
      <c r="A17" s="52">
        <v>6.0</v>
      </c>
      <c r="B17" s="45"/>
      <c r="C17" s="45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52">
        <f t="shared" si="1"/>
        <v>0</v>
      </c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52">
        <f t="shared" si="2"/>
        <v>0</v>
      </c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52">
        <f t="shared" si="3"/>
        <v>0</v>
      </c>
      <c r="AR17" s="45">
        <f t="shared" si="4"/>
        <v>0</v>
      </c>
      <c r="AS17" s="45">
        <f t="shared" si="5"/>
        <v>0</v>
      </c>
      <c r="AT17" s="45" t="str">
        <f t="shared" si="6"/>
        <v>#DIV/0!</v>
      </c>
      <c r="AV17" s="45">
        <f t="shared" si="7"/>
        <v>0</v>
      </c>
      <c r="AW17" s="45">
        <f t="shared" si="8"/>
        <v>0</v>
      </c>
      <c r="AX17" s="45" t="str">
        <f t="shared" si="9"/>
        <v>#DIV/0!</v>
      </c>
      <c r="AZ17" s="45">
        <f t="shared" si="10"/>
        <v>0</v>
      </c>
      <c r="BA17" s="45">
        <f t="shared" si="11"/>
        <v>0</v>
      </c>
      <c r="BB17" s="45" t="str">
        <f t="shared" si="12"/>
        <v>#DIV/0!</v>
      </c>
      <c r="BD17" s="45">
        <f t="shared" si="13"/>
        <v>0</v>
      </c>
      <c r="BE17" s="45">
        <f t="shared" si="14"/>
        <v>0</v>
      </c>
      <c r="BF17" s="45" t="str">
        <f t="shared" si="15"/>
        <v>#DIV/0!</v>
      </c>
      <c r="BH17" s="45">
        <f t="shared" si="16"/>
        <v>0</v>
      </c>
      <c r="BI17" s="45">
        <f t="shared" si="17"/>
        <v>0</v>
      </c>
      <c r="BJ17" s="45" t="str">
        <f t="shared" si="18"/>
        <v>#DIV/0!</v>
      </c>
    </row>
    <row r="18">
      <c r="A18" s="52">
        <v>7.0</v>
      </c>
      <c r="B18" s="45"/>
      <c r="C18" s="45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52">
        <f t="shared" si="1"/>
        <v>0</v>
      </c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52">
        <f t="shared" si="2"/>
        <v>0</v>
      </c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52">
        <f t="shared" si="3"/>
        <v>0</v>
      </c>
      <c r="AR18" s="45">
        <f t="shared" si="4"/>
        <v>0</v>
      </c>
      <c r="AS18" s="45">
        <f t="shared" si="5"/>
        <v>0</v>
      </c>
      <c r="AT18" s="45" t="str">
        <f t="shared" si="6"/>
        <v>#DIV/0!</v>
      </c>
      <c r="AV18" s="45">
        <f t="shared" si="7"/>
        <v>0</v>
      </c>
      <c r="AW18" s="45">
        <f t="shared" si="8"/>
        <v>0</v>
      </c>
      <c r="AX18" s="45" t="str">
        <f t="shared" si="9"/>
        <v>#DIV/0!</v>
      </c>
      <c r="AZ18" s="45">
        <f t="shared" si="10"/>
        <v>0</v>
      </c>
      <c r="BA18" s="45">
        <f t="shared" si="11"/>
        <v>0</v>
      </c>
      <c r="BB18" s="45" t="str">
        <f t="shared" si="12"/>
        <v>#DIV/0!</v>
      </c>
      <c r="BD18" s="45">
        <f t="shared" si="13"/>
        <v>0</v>
      </c>
      <c r="BE18" s="45">
        <f t="shared" si="14"/>
        <v>0</v>
      </c>
      <c r="BF18" s="45" t="str">
        <f t="shared" si="15"/>
        <v>#DIV/0!</v>
      </c>
      <c r="BH18" s="45">
        <f t="shared" si="16"/>
        <v>0</v>
      </c>
      <c r="BI18" s="45">
        <f t="shared" si="17"/>
        <v>0</v>
      </c>
      <c r="BJ18" s="45" t="str">
        <f t="shared" si="18"/>
        <v>#DIV/0!</v>
      </c>
    </row>
    <row r="19">
      <c r="A19" s="52">
        <v>8.0</v>
      </c>
      <c r="B19" s="45"/>
      <c r="C19" s="45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52">
        <f t="shared" si="1"/>
        <v>0</v>
      </c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52">
        <f t="shared" si="2"/>
        <v>0</v>
      </c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52">
        <f t="shared" si="3"/>
        <v>0</v>
      </c>
      <c r="AR19" s="45">
        <f t="shared" si="4"/>
        <v>0</v>
      </c>
      <c r="AS19" s="45">
        <f t="shared" si="5"/>
        <v>0</v>
      </c>
      <c r="AT19" s="45" t="str">
        <f t="shared" si="6"/>
        <v>#DIV/0!</v>
      </c>
      <c r="AV19" s="45">
        <f t="shared" si="7"/>
        <v>0</v>
      </c>
      <c r="AW19" s="45">
        <f t="shared" si="8"/>
        <v>0</v>
      </c>
      <c r="AX19" s="45" t="str">
        <f t="shared" si="9"/>
        <v>#DIV/0!</v>
      </c>
      <c r="AZ19" s="45">
        <f t="shared" si="10"/>
        <v>0</v>
      </c>
      <c r="BA19" s="45">
        <f t="shared" si="11"/>
        <v>0</v>
      </c>
      <c r="BB19" s="45" t="str">
        <f t="shared" si="12"/>
        <v>#DIV/0!</v>
      </c>
      <c r="BD19" s="45">
        <f t="shared" si="13"/>
        <v>0</v>
      </c>
      <c r="BE19" s="45">
        <f t="shared" si="14"/>
        <v>0</v>
      </c>
      <c r="BF19" s="45" t="str">
        <f t="shared" si="15"/>
        <v>#DIV/0!</v>
      </c>
      <c r="BH19" s="45">
        <f t="shared" si="16"/>
        <v>0</v>
      </c>
      <c r="BI19" s="45">
        <f t="shared" si="17"/>
        <v>0</v>
      </c>
      <c r="BJ19" s="45" t="str">
        <f t="shared" si="18"/>
        <v>#DIV/0!</v>
      </c>
    </row>
    <row r="20">
      <c r="A20" s="52">
        <v>9.0</v>
      </c>
      <c r="B20" s="45"/>
      <c r="C20" s="45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52">
        <f t="shared" si="1"/>
        <v>0</v>
      </c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52">
        <f t="shared" si="2"/>
        <v>0</v>
      </c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52">
        <f t="shared" si="3"/>
        <v>0</v>
      </c>
      <c r="AR20" s="45">
        <f t="shared" si="4"/>
        <v>0</v>
      </c>
      <c r="AS20" s="45">
        <f t="shared" si="5"/>
        <v>0</v>
      </c>
      <c r="AT20" s="45" t="str">
        <f t="shared" si="6"/>
        <v>#DIV/0!</v>
      </c>
      <c r="AV20" s="45">
        <f t="shared" si="7"/>
        <v>0</v>
      </c>
      <c r="AW20" s="45">
        <f t="shared" si="8"/>
        <v>0</v>
      </c>
      <c r="AX20" s="45" t="str">
        <f t="shared" si="9"/>
        <v>#DIV/0!</v>
      </c>
      <c r="AZ20" s="45">
        <f t="shared" si="10"/>
        <v>0</v>
      </c>
      <c r="BA20" s="45">
        <f t="shared" si="11"/>
        <v>0</v>
      </c>
      <c r="BB20" s="45" t="str">
        <f t="shared" si="12"/>
        <v>#DIV/0!</v>
      </c>
      <c r="BD20" s="45">
        <f t="shared" si="13"/>
        <v>0</v>
      </c>
      <c r="BE20" s="45">
        <f t="shared" si="14"/>
        <v>0</v>
      </c>
      <c r="BF20" s="45" t="str">
        <f t="shared" si="15"/>
        <v>#DIV/0!</v>
      </c>
      <c r="BH20" s="45">
        <f t="shared" si="16"/>
        <v>0</v>
      </c>
      <c r="BI20" s="45">
        <f t="shared" si="17"/>
        <v>0</v>
      </c>
      <c r="BJ20" s="45" t="str">
        <f t="shared" si="18"/>
        <v>#DIV/0!</v>
      </c>
    </row>
    <row r="21" ht="15.75" customHeight="1">
      <c r="A21" s="52">
        <v>10.0</v>
      </c>
      <c r="B21" s="45"/>
      <c r="C21" s="45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52">
        <f t="shared" si="1"/>
        <v>0</v>
      </c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52">
        <f t="shared" si="2"/>
        <v>0</v>
      </c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52">
        <f t="shared" si="3"/>
        <v>0</v>
      </c>
      <c r="AR21" s="45">
        <f t="shared" si="4"/>
        <v>0</v>
      </c>
      <c r="AS21" s="45">
        <f t="shared" si="5"/>
        <v>0</v>
      </c>
      <c r="AT21" s="45" t="str">
        <f t="shared" si="6"/>
        <v>#DIV/0!</v>
      </c>
      <c r="AV21" s="45">
        <f t="shared" si="7"/>
        <v>0</v>
      </c>
      <c r="AW21" s="45">
        <f t="shared" si="8"/>
        <v>0</v>
      </c>
      <c r="AX21" s="45" t="str">
        <f t="shared" si="9"/>
        <v>#DIV/0!</v>
      </c>
      <c r="AZ21" s="45">
        <f t="shared" si="10"/>
        <v>0</v>
      </c>
      <c r="BA21" s="45">
        <f t="shared" si="11"/>
        <v>0</v>
      </c>
      <c r="BB21" s="45" t="str">
        <f t="shared" si="12"/>
        <v>#DIV/0!</v>
      </c>
      <c r="BD21" s="45">
        <f t="shared" si="13"/>
        <v>0</v>
      </c>
      <c r="BE21" s="45">
        <f t="shared" si="14"/>
        <v>0</v>
      </c>
      <c r="BF21" s="45" t="str">
        <f t="shared" si="15"/>
        <v>#DIV/0!</v>
      </c>
      <c r="BH21" s="45">
        <f t="shared" si="16"/>
        <v>0</v>
      </c>
      <c r="BI21" s="45">
        <f t="shared" si="17"/>
        <v>0</v>
      </c>
      <c r="BJ21" s="45" t="str">
        <f t="shared" si="18"/>
        <v>#DIV/0!</v>
      </c>
    </row>
    <row r="22" ht="15.75" customHeight="1">
      <c r="A22" s="52">
        <v>11.0</v>
      </c>
      <c r="B22" s="45"/>
      <c r="C22" s="45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52">
        <f t="shared" si="1"/>
        <v>0</v>
      </c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52">
        <f t="shared" si="2"/>
        <v>0</v>
      </c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52">
        <f t="shared" si="3"/>
        <v>0</v>
      </c>
      <c r="AR22" s="45">
        <f t="shared" si="4"/>
        <v>0</v>
      </c>
      <c r="AS22" s="45">
        <f t="shared" si="5"/>
        <v>0</v>
      </c>
      <c r="AT22" s="45" t="str">
        <f t="shared" si="6"/>
        <v>#DIV/0!</v>
      </c>
      <c r="AV22" s="45">
        <f t="shared" si="7"/>
        <v>0</v>
      </c>
      <c r="AW22" s="45">
        <f t="shared" si="8"/>
        <v>0</v>
      </c>
      <c r="AX22" s="45" t="str">
        <f t="shared" si="9"/>
        <v>#DIV/0!</v>
      </c>
      <c r="AZ22" s="45">
        <f t="shared" si="10"/>
        <v>0</v>
      </c>
      <c r="BA22" s="45">
        <f t="shared" si="11"/>
        <v>0</v>
      </c>
      <c r="BB22" s="45" t="str">
        <f t="shared" si="12"/>
        <v>#DIV/0!</v>
      </c>
      <c r="BD22" s="45">
        <f t="shared" si="13"/>
        <v>0</v>
      </c>
      <c r="BE22" s="45">
        <f t="shared" si="14"/>
        <v>0</v>
      </c>
      <c r="BF22" s="45" t="str">
        <f t="shared" si="15"/>
        <v>#DIV/0!</v>
      </c>
      <c r="BH22" s="45">
        <f t="shared" si="16"/>
        <v>0</v>
      </c>
      <c r="BI22" s="45">
        <f t="shared" si="17"/>
        <v>0</v>
      </c>
      <c r="BJ22" s="45" t="str">
        <f t="shared" si="18"/>
        <v>#DIV/0!</v>
      </c>
    </row>
    <row r="23" ht="15.75" customHeight="1">
      <c r="A23" s="52">
        <v>12.0</v>
      </c>
      <c r="B23" s="45"/>
      <c r="C23" s="45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52">
        <f t="shared" si="1"/>
        <v>0</v>
      </c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52">
        <f t="shared" si="2"/>
        <v>0</v>
      </c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52">
        <f t="shared" si="3"/>
        <v>0</v>
      </c>
      <c r="AR23" s="45">
        <f t="shared" si="4"/>
        <v>0</v>
      </c>
      <c r="AS23" s="45">
        <f t="shared" si="5"/>
        <v>0</v>
      </c>
      <c r="AT23" s="45" t="str">
        <f t="shared" si="6"/>
        <v>#DIV/0!</v>
      </c>
      <c r="AV23" s="45">
        <f t="shared" si="7"/>
        <v>0</v>
      </c>
      <c r="AW23" s="45">
        <f t="shared" si="8"/>
        <v>0</v>
      </c>
      <c r="AX23" s="45" t="str">
        <f t="shared" si="9"/>
        <v>#DIV/0!</v>
      </c>
      <c r="AZ23" s="45">
        <f t="shared" si="10"/>
        <v>0</v>
      </c>
      <c r="BA23" s="45">
        <f t="shared" si="11"/>
        <v>0</v>
      </c>
      <c r="BB23" s="45" t="str">
        <f t="shared" si="12"/>
        <v>#DIV/0!</v>
      </c>
      <c r="BD23" s="45">
        <f t="shared" si="13"/>
        <v>0</v>
      </c>
      <c r="BE23" s="45">
        <f t="shared" si="14"/>
        <v>0</v>
      </c>
      <c r="BF23" s="45" t="str">
        <f t="shared" si="15"/>
        <v>#DIV/0!</v>
      </c>
      <c r="BH23" s="45">
        <f t="shared" si="16"/>
        <v>0</v>
      </c>
      <c r="BI23" s="45">
        <f t="shared" si="17"/>
        <v>0</v>
      </c>
      <c r="BJ23" s="45" t="str">
        <f t="shared" si="18"/>
        <v>#DIV/0!</v>
      </c>
    </row>
    <row r="24" ht="15.75" customHeight="1">
      <c r="A24" s="52">
        <v>13.0</v>
      </c>
      <c r="B24" s="45"/>
      <c r="C24" s="45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52">
        <f t="shared" si="1"/>
        <v>0</v>
      </c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52">
        <f t="shared" si="2"/>
        <v>0</v>
      </c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52">
        <f t="shared" si="3"/>
        <v>0</v>
      </c>
      <c r="AR24" s="45">
        <f t="shared" si="4"/>
        <v>0</v>
      </c>
      <c r="AS24" s="45">
        <f t="shared" si="5"/>
        <v>0</v>
      </c>
      <c r="AT24" s="45" t="str">
        <f t="shared" si="6"/>
        <v>#DIV/0!</v>
      </c>
      <c r="AV24" s="45">
        <f t="shared" si="7"/>
        <v>0</v>
      </c>
      <c r="AW24" s="45">
        <f t="shared" si="8"/>
        <v>0</v>
      </c>
      <c r="AX24" s="45" t="str">
        <f t="shared" si="9"/>
        <v>#DIV/0!</v>
      </c>
      <c r="AZ24" s="45">
        <f t="shared" si="10"/>
        <v>0</v>
      </c>
      <c r="BA24" s="45">
        <f t="shared" si="11"/>
        <v>0</v>
      </c>
      <c r="BB24" s="45" t="str">
        <f t="shared" si="12"/>
        <v>#DIV/0!</v>
      </c>
      <c r="BD24" s="45">
        <f t="shared" si="13"/>
        <v>0</v>
      </c>
      <c r="BE24" s="45">
        <f t="shared" si="14"/>
        <v>0</v>
      </c>
      <c r="BF24" s="45" t="str">
        <f t="shared" si="15"/>
        <v>#DIV/0!</v>
      </c>
      <c r="BH24" s="45">
        <f t="shared" si="16"/>
        <v>0</v>
      </c>
      <c r="BI24" s="45">
        <f t="shared" si="17"/>
        <v>0</v>
      </c>
      <c r="BJ24" s="45" t="str">
        <f t="shared" si="18"/>
        <v>#DIV/0!</v>
      </c>
    </row>
    <row r="25" ht="15.75" customHeight="1">
      <c r="A25" s="52">
        <v>14.0</v>
      </c>
      <c r="B25" s="45"/>
      <c r="C25" s="45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52">
        <f t="shared" si="1"/>
        <v>0</v>
      </c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52">
        <f t="shared" si="2"/>
        <v>0</v>
      </c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52">
        <f t="shared" si="3"/>
        <v>0</v>
      </c>
      <c r="AR25" s="45">
        <f t="shared" si="4"/>
        <v>0</v>
      </c>
      <c r="AS25" s="45">
        <f t="shared" si="5"/>
        <v>0</v>
      </c>
      <c r="AT25" s="45" t="str">
        <f t="shared" si="6"/>
        <v>#DIV/0!</v>
      </c>
      <c r="AV25" s="45">
        <f t="shared" si="7"/>
        <v>0</v>
      </c>
      <c r="AW25" s="45">
        <f t="shared" si="8"/>
        <v>0</v>
      </c>
      <c r="AX25" s="45" t="str">
        <f t="shared" si="9"/>
        <v>#DIV/0!</v>
      </c>
      <c r="AZ25" s="45">
        <f t="shared" si="10"/>
        <v>0</v>
      </c>
      <c r="BA25" s="45">
        <f t="shared" si="11"/>
        <v>0</v>
      </c>
      <c r="BB25" s="45" t="str">
        <f t="shared" si="12"/>
        <v>#DIV/0!</v>
      </c>
      <c r="BD25" s="45">
        <f t="shared" si="13"/>
        <v>0</v>
      </c>
      <c r="BE25" s="45">
        <f t="shared" si="14"/>
        <v>0</v>
      </c>
      <c r="BF25" s="45" t="str">
        <f t="shared" si="15"/>
        <v>#DIV/0!</v>
      </c>
      <c r="BH25" s="45">
        <f t="shared" si="16"/>
        <v>0</v>
      </c>
      <c r="BI25" s="45">
        <f t="shared" si="17"/>
        <v>0</v>
      </c>
      <c r="BJ25" s="45" t="str">
        <f t="shared" si="18"/>
        <v>#DIV/0!</v>
      </c>
    </row>
    <row r="26" ht="15.75" customHeight="1">
      <c r="A26" s="52">
        <v>15.0</v>
      </c>
      <c r="B26" s="45"/>
      <c r="C26" s="45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52">
        <f t="shared" si="1"/>
        <v>0</v>
      </c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52">
        <f t="shared" si="2"/>
        <v>0</v>
      </c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52">
        <f t="shared" si="3"/>
        <v>0</v>
      </c>
      <c r="AR26" s="45">
        <f t="shared" si="4"/>
        <v>0</v>
      </c>
      <c r="AS26" s="45">
        <f t="shared" si="5"/>
        <v>0</v>
      </c>
      <c r="AT26" s="45" t="str">
        <f t="shared" si="6"/>
        <v>#DIV/0!</v>
      </c>
      <c r="AV26" s="45">
        <f t="shared" si="7"/>
        <v>0</v>
      </c>
      <c r="AW26" s="45">
        <f t="shared" si="8"/>
        <v>0</v>
      </c>
      <c r="AX26" s="45" t="str">
        <f t="shared" si="9"/>
        <v>#DIV/0!</v>
      </c>
      <c r="AZ26" s="45">
        <f t="shared" si="10"/>
        <v>0</v>
      </c>
      <c r="BA26" s="45">
        <f t="shared" si="11"/>
        <v>0</v>
      </c>
      <c r="BB26" s="45" t="str">
        <f t="shared" si="12"/>
        <v>#DIV/0!</v>
      </c>
      <c r="BD26" s="45">
        <f t="shared" si="13"/>
        <v>0</v>
      </c>
      <c r="BE26" s="45">
        <f t="shared" si="14"/>
        <v>0</v>
      </c>
      <c r="BF26" s="45" t="str">
        <f t="shared" si="15"/>
        <v>#DIV/0!</v>
      </c>
      <c r="BH26" s="45">
        <f t="shared" si="16"/>
        <v>0</v>
      </c>
      <c r="BI26" s="45">
        <f t="shared" si="17"/>
        <v>0</v>
      </c>
      <c r="BJ26" s="45" t="str">
        <f t="shared" si="18"/>
        <v>#DIV/0!</v>
      </c>
    </row>
    <row r="27" ht="15.75" customHeight="1">
      <c r="A27" s="52">
        <v>16.0</v>
      </c>
      <c r="B27" s="45"/>
      <c r="C27" s="45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52">
        <f t="shared" si="1"/>
        <v>0</v>
      </c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52">
        <f t="shared" si="2"/>
        <v>0</v>
      </c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52">
        <f t="shared" si="3"/>
        <v>0</v>
      </c>
      <c r="AR27" s="45">
        <f t="shared" si="4"/>
        <v>0</v>
      </c>
      <c r="AS27" s="45">
        <f t="shared" si="5"/>
        <v>0</v>
      </c>
      <c r="AT27" s="45" t="str">
        <f t="shared" si="6"/>
        <v>#DIV/0!</v>
      </c>
      <c r="AV27" s="45">
        <f t="shared" si="7"/>
        <v>0</v>
      </c>
      <c r="AW27" s="45">
        <f t="shared" si="8"/>
        <v>0</v>
      </c>
      <c r="AX27" s="45" t="str">
        <f t="shared" si="9"/>
        <v>#DIV/0!</v>
      </c>
      <c r="AZ27" s="45">
        <f t="shared" si="10"/>
        <v>0</v>
      </c>
      <c r="BA27" s="45">
        <f t="shared" si="11"/>
        <v>0</v>
      </c>
      <c r="BB27" s="45" t="str">
        <f t="shared" si="12"/>
        <v>#DIV/0!</v>
      </c>
      <c r="BD27" s="45">
        <f t="shared" si="13"/>
        <v>0</v>
      </c>
      <c r="BE27" s="45">
        <f t="shared" si="14"/>
        <v>0</v>
      </c>
      <c r="BF27" s="45" t="str">
        <f t="shared" si="15"/>
        <v>#DIV/0!</v>
      </c>
      <c r="BH27" s="45">
        <f t="shared" si="16"/>
        <v>0</v>
      </c>
      <c r="BI27" s="45">
        <f t="shared" si="17"/>
        <v>0</v>
      </c>
      <c r="BJ27" s="45" t="str">
        <f t="shared" si="18"/>
        <v>#DIV/0!</v>
      </c>
    </row>
    <row r="28" ht="15.75" customHeight="1">
      <c r="A28" s="52">
        <v>17.0</v>
      </c>
      <c r="B28" s="45"/>
      <c r="C28" s="45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52">
        <f t="shared" si="1"/>
        <v>0</v>
      </c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52">
        <f t="shared" si="2"/>
        <v>0</v>
      </c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52">
        <f t="shared" si="3"/>
        <v>0</v>
      </c>
      <c r="AR28" s="45">
        <f t="shared" si="4"/>
        <v>0</v>
      </c>
      <c r="AS28" s="45">
        <f t="shared" si="5"/>
        <v>0</v>
      </c>
      <c r="AT28" s="45" t="str">
        <f t="shared" si="6"/>
        <v>#DIV/0!</v>
      </c>
      <c r="AV28" s="45">
        <f t="shared" si="7"/>
        <v>0</v>
      </c>
      <c r="AW28" s="45">
        <f t="shared" si="8"/>
        <v>0</v>
      </c>
      <c r="AX28" s="45" t="str">
        <f t="shared" si="9"/>
        <v>#DIV/0!</v>
      </c>
      <c r="AZ28" s="45">
        <f t="shared" si="10"/>
        <v>0</v>
      </c>
      <c r="BA28" s="45">
        <f t="shared" si="11"/>
        <v>0</v>
      </c>
      <c r="BB28" s="45" t="str">
        <f t="shared" si="12"/>
        <v>#DIV/0!</v>
      </c>
      <c r="BD28" s="45">
        <f t="shared" si="13"/>
        <v>0</v>
      </c>
      <c r="BE28" s="45">
        <f t="shared" si="14"/>
        <v>0</v>
      </c>
      <c r="BF28" s="45" t="str">
        <f t="shared" si="15"/>
        <v>#DIV/0!</v>
      </c>
      <c r="BH28" s="45">
        <f t="shared" si="16"/>
        <v>0</v>
      </c>
      <c r="BI28" s="45">
        <f t="shared" si="17"/>
        <v>0</v>
      </c>
      <c r="BJ28" s="45" t="str">
        <f t="shared" si="18"/>
        <v>#DIV/0!</v>
      </c>
    </row>
    <row r="29" ht="15.75" customHeight="1">
      <c r="A29" s="52">
        <v>18.0</v>
      </c>
      <c r="B29" s="45"/>
      <c r="C29" s="45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52">
        <f t="shared" si="1"/>
        <v>0</v>
      </c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52">
        <f t="shared" si="2"/>
        <v>0</v>
      </c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52">
        <f t="shared" si="3"/>
        <v>0</v>
      </c>
      <c r="AR29" s="45">
        <f t="shared" si="4"/>
        <v>0</v>
      </c>
      <c r="AS29" s="45">
        <f t="shared" si="5"/>
        <v>0</v>
      </c>
      <c r="AT29" s="45" t="str">
        <f t="shared" si="6"/>
        <v>#DIV/0!</v>
      </c>
      <c r="AV29" s="45">
        <f t="shared" si="7"/>
        <v>0</v>
      </c>
      <c r="AW29" s="45">
        <f t="shared" si="8"/>
        <v>0</v>
      </c>
      <c r="AX29" s="45" t="str">
        <f t="shared" si="9"/>
        <v>#DIV/0!</v>
      </c>
      <c r="AZ29" s="45">
        <f t="shared" si="10"/>
        <v>0</v>
      </c>
      <c r="BA29" s="45">
        <f t="shared" si="11"/>
        <v>0</v>
      </c>
      <c r="BB29" s="45" t="str">
        <f t="shared" si="12"/>
        <v>#DIV/0!</v>
      </c>
      <c r="BD29" s="45">
        <f t="shared" si="13"/>
        <v>0</v>
      </c>
      <c r="BE29" s="45">
        <f t="shared" si="14"/>
        <v>0</v>
      </c>
      <c r="BF29" s="45" t="str">
        <f t="shared" si="15"/>
        <v>#DIV/0!</v>
      </c>
      <c r="BH29" s="45">
        <f t="shared" si="16"/>
        <v>0</v>
      </c>
      <c r="BI29" s="45">
        <f t="shared" si="17"/>
        <v>0</v>
      </c>
      <c r="BJ29" s="45" t="str">
        <f t="shared" si="18"/>
        <v>#DIV/0!</v>
      </c>
    </row>
    <row r="30" ht="15.75" customHeight="1">
      <c r="A30" s="52">
        <v>19.0</v>
      </c>
      <c r="B30" s="45"/>
      <c r="C30" s="45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52">
        <f t="shared" si="1"/>
        <v>0</v>
      </c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52">
        <f t="shared" si="2"/>
        <v>0</v>
      </c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52">
        <f t="shared" si="3"/>
        <v>0</v>
      </c>
      <c r="AR30" s="45">
        <f t="shared" si="4"/>
        <v>0</v>
      </c>
      <c r="AS30" s="45">
        <f t="shared" si="5"/>
        <v>0</v>
      </c>
      <c r="AT30" s="45" t="str">
        <f t="shared" si="6"/>
        <v>#DIV/0!</v>
      </c>
      <c r="AV30" s="45">
        <f t="shared" si="7"/>
        <v>0</v>
      </c>
      <c r="AW30" s="45">
        <f t="shared" si="8"/>
        <v>0</v>
      </c>
      <c r="AX30" s="45" t="str">
        <f t="shared" si="9"/>
        <v>#DIV/0!</v>
      </c>
      <c r="AZ30" s="45">
        <f t="shared" si="10"/>
        <v>0</v>
      </c>
      <c r="BA30" s="45">
        <f t="shared" si="11"/>
        <v>0</v>
      </c>
      <c r="BB30" s="45" t="str">
        <f t="shared" si="12"/>
        <v>#DIV/0!</v>
      </c>
      <c r="BD30" s="45">
        <f t="shared" si="13"/>
        <v>0</v>
      </c>
      <c r="BE30" s="45">
        <f t="shared" si="14"/>
        <v>0</v>
      </c>
      <c r="BF30" s="45" t="str">
        <f t="shared" si="15"/>
        <v>#DIV/0!</v>
      </c>
      <c r="BH30" s="45">
        <f t="shared" si="16"/>
        <v>0</v>
      </c>
      <c r="BI30" s="45">
        <f t="shared" si="17"/>
        <v>0</v>
      </c>
      <c r="BJ30" s="45" t="str">
        <f t="shared" si="18"/>
        <v>#DIV/0!</v>
      </c>
    </row>
    <row r="31" ht="15.75" customHeight="1">
      <c r="A31" s="52">
        <v>20.0</v>
      </c>
      <c r="B31" s="45"/>
      <c r="C31" s="45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52">
        <f t="shared" si="1"/>
        <v>0</v>
      </c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52">
        <f t="shared" si="2"/>
        <v>0</v>
      </c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52">
        <f t="shared" si="3"/>
        <v>0</v>
      </c>
      <c r="AR31" s="45">
        <f t="shared" si="4"/>
        <v>0</v>
      </c>
      <c r="AS31" s="45">
        <f t="shared" si="5"/>
        <v>0</v>
      </c>
      <c r="AT31" s="45" t="str">
        <f t="shared" si="6"/>
        <v>#DIV/0!</v>
      </c>
      <c r="AV31" s="45">
        <f t="shared" si="7"/>
        <v>0</v>
      </c>
      <c r="AW31" s="45">
        <f t="shared" si="8"/>
        <v>0</v>
      </c>
      <c r="AX31" s="45" t="str">
        <f t="shared" si="9"/>
        <v>#DIV/0!</v>
      </c>
      <c r="AZ31" s="45">
        <f t="shared" si="10"/>
        <v>0</v>
      </c>
      <c r="BA31" s="45">
        <f t="shared" si="11"/>
        <v>0</v>
      </c>
      <c r="BB31" s="45" t="str">
        <f t="shared" si="12"/>
        <v>#DIV/0!</v>
      </c>
      <c r="BD31" s="45">
        <f t="shared" si="13"/>
        <v>0</v>
      </c>
      <c r="BE31" s="45">
        <f t="shared" si="14"/>
        <v>0</v>
      </c>
      <c r="BF31" s="45" t="str">
        <f t="shared" si="15"/>
        <v>#DIV/0!</v>
      </c>
      <c r="BH31" s="45">
        <f t="shared" si="16"/>
        <v>0</v>
      </c>
      <c r="BI31" s="45">
        <f t="shared" si="17"/>
        <v>0</v>
      </c>
      <c r="BJ31" s="45" t="str">
        <f t="shared" si="18"/>
        <v>#DIV/0!</v>
      </c>
    </row>
    <row r="32" ht="15.75" customHeight="1">
      <c r="A32" s="52">
        <v>21.0</v>
      </c>
      <c r="B32" s="45"/>
      <c r="C32" s="45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52">
        <f t="shared" si="1"/>
        <v>0</v>
      </c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52">
        <f t="shared" si="2"/>
        <v>0</v>
      </c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52">
        <f t="shared" si="3"/>
        <v>0</v>
      </c>
      <c r="AR32" s="45">
        <f t="shared" si="4"/>
        <v>0</v>
      </c>
      <c r="AS32" s="45">
        <f t="shared" si="5"/>
        <v>0</v>
      </c>
      <c r="AT32" s="45" t="str">
        <f t="shared" si="6"/>
        <v>#DIV/0!</v>
      </c>
      <c r="AV32" s="45">
        <f t="shared" si="7"/>
        <v>0</v>
      </c>
      <c r="AW32" s="45">
        <f t="shared" si="8"/>
        <v>0</v>
      </c>
      <c r="AX32" s="45" t="str">
        <f t="shared" si="9"/>
        <v>#DIV/0!</v>
      </c>
      <c r="AZ32" s="45">
        <f t="shared" si="10"/>
        <v>0</v>
      </c>
      <c r="BA32" s="45">
        <f t="shared" si="11"/>
        <v>0</v>
      </c>
      <c r="BB32" s="45" t="str">
        <f t="shared" si="12"/>
        <v>#DIV/0!</v>
      </c>
      <c r="BD32" s="45">
        <f t="shared" si="13"/>
        <v>0</v>
      </c>
      <c r="BE32" s="45">
        <f t="shared" si="14"/>
        <v>0</v>
      </c>
      <c r="BF32" s="45" t="str">
        <f t="shared" si="15"/>
        <v>#DIV/0!</v>
      </c>
      <c r="BH32" s="45">
        <f t="shared" si="16"/>
        <v>0</v>
      </c>
      <c r="BI32" s="45">
        <f t="shared" si="17"/>
        <v>0</v>
      </c>
      <c r="BJ32" s="45" t="str">
        <f t="shared" si="18"/>
        <v>#DIV/0!</v>
      </c>
    </row>
    <row r="33" ht="15.75" customHeight="1">
      <c r="A33" s="52">
        <v>22.0</v>
      </c>
      <c r="B33" s="45"/>
      <c r="C33" s="45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52">
        <f t="shared" si="1"/>
        <v>0</v>
      </c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52">
        <f t="shared" si="2"/>
        <v>0</v>
      </c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52">
        <f t="shared" si="3"/>
        <v>0</v>
      </c>
      <c r="AR33" s="45">
        <f t="shared" si="4"/>
        <v>0</v>
      </c>
      <c r="AS33" s="45">
        <f t="shared" si="5"/>
        <v>0</v>
      </c>
      <c r="AT33" s="45" t="str">
        <f t="shared" si="6"/>
        <v>#DIV/0!</v>
      </c>
      <c r="AV33" s="45">
        <f t="shared" si="7"/>
        <v>0</v>
      </c>
      <c r="AW33" s="45">
        <f t="shared" si="8"/>
        <v>0</v>
      </c>
      <c r="AX33" s="45" t="str">
        <f t="shared" si="9"/>
        <v>#DIV/0!</v>
      </c>
      <c r="AZ33" s="45">
        <f t="shared" si="10"/>
        <v>0</v>
      </c>
      <c r="BA33" s="45">
        <f t="shared" si="11"/>
        <v>0</v>
      </c>
      <c r="BB33" s="45" t="str">
        <f t="shared" si="12"/>
        <v>#DIV/0!</v>
      </c>
      <c r="BD33" s="45">
        <f t="shared" si="13"/>
        <v>0</v>
      </c>
      <c r="BE33" s="45">
        <f t="shared" si="14"/>
        <v>0</v>
      </c>
      <c r="BF33" s="45" t="str">
        <f t="shared" si="15"/>
        <v>#DIV/0!</v>
      </c>
      <c r="BH33" s="45">
        <f t="shared" si="16"/>
        <v>0</v>
      </c>
      <c r="BI33" s="45">
        <f t="shared" si="17"/>
        <v>0</v>
      </c>
      <c r="BJ33" s="45" t="str">
        <f t="shared" si="18"/>
        <v>#DIV/0!</v>
      </c>
    </row>
    <row r="34" ht="15.75" customHeight="1">
      <c r="A34" s="52">
        <v>23.0</v>
      </c>
      <c r="B34" s="45"/>
      <c r="C34" s="45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52">
        <f t="shared" si="1"/>
        <v>0</v>
      </c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52">
        <f t="shared" si="2"/>
        <v>0</v>
      </c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52">
        <f t="shared" si="3"/>
        <v>0</v>
      </c>
      <c r="AR34" s="45">
        <f t="shared" si="4"/>
        <v>0</v>
      </c>
      <c r="AS34" s="45">
        <f t="shared" si="5"/>
        <v>0</v>
      </c>
      <c r="AT34" s="45" t="str">
        <f t="shared" si="6"/>
        <v>#DIV/0!</v>
      </c>
      <c r="AV34" s="45">
        <f t="shared" si="7"/>
        <v>0</v>
      </c>
      <c r="AW34" s="45">
        <f t="shared" si="8"/>
        <v>0</v>
      </c>
      <c r="AX34" s="45" t="str">
        <f t="shared" si="9"/>
        <v>#DIV/0!</v>
      </c>
      <c r="AZ34" s="45">
        <f t="shared" si="10"/>
        <v>0</v>
      </c>
      <c r="BA34" s="45">
        <f t="shared" si="11"/>
        <v>0</v>
      </c>
      <c r="BB34" s="45" t="str">
        <f t="shared" si="12"/>
        <v>#DIV/0!</v>
      </c>
      <c r="BD34" s="45">
        <f t="shared" si="13"/>
        <v>0</v>
      </c>
      <c r="BE34" s="45">
        <f t="shared" si="14"/>
        <v>0</v>
      </c>
      <c r="BF34" s="45" t="str">
        <f t="shared" si="15"/>
        <v>#DIV/0!</v>
      </c>
      <c r="BH34" s="45">
        <f t="shared" si="16"/>
        <v>0</v>
      </c>
      <c r="BI34" s="45">
        <f t="shared" si="17"/>
        <v>0</v>
      </c>
      <c r="BJ34" s="45" t="str">
        <f t="shared" si="18"/>
        <v>#DIV/0!</v>
      </c>
    </row>
    <row r="35" ht="15.75" customHeight="1">
      <c r="A35" s="52">
        <v>24.0</v>
      </c>
      <c r="B35" s="45"/>
      <c r="C35" s="45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52">
        <f t="shared" si="1"/>
        <v>0</v>
      </c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52">
        <f t="shared" si="2"/>
        <v>0</v>
      </c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52">
        <f t="shared" si="3"/>
        <v>0</v>
      </c>
      <c r="AR35" s="45">
        <f t="shared" si="4"/>
        <v>0</v>
      </c>
      <c r="AS35" s="45">
        <f t="shared" si="5"/>
        <v>0</v>
      </c>
      <c r="AT35" s="45" t="str">
        <f t="shared" si="6"/>
        <v>#DIV/0!</v>
      </c>
      <c r="AV35" s="45">
        <f t="shared" si="7"/>
        <v>0</v>
      </c>
      <c r="AW35" s="45">
        <f t="shared" si="8"/>
        <v>0</v>
      </c>
      <c r="AX35" s="45" t="str">
        <f t="shared" si="9"/>
        <v>#DIV/0!</v>
      </c>
      <c r="AZ35" s="45">
        <f t="shared" si="10"/>
        <v>0</v>
      </c>
      <c r="BA35" s="45">
        <f t="shared" si="11"/>
        <v>0</v>
      </c>
      <c r="BB35" s="45" t="str">
        <f t="shared" si="12"/>
        <v>#DIV/0!</v>
      </c>
      <c r="BD35" s="45">
        <f t="shared" si="13"/>
        <v>0</v>
      </c>
      <c r="BE35" s="45">
        <f t="shared" si="14"/>
        <v>0</v>
      </c>
      <c r="BF35" s="45" t="str">
        <f t="shared" si="15"/>
        <v>#DIV/0!</v>
      </c>
      <c r="BH35" s="45">
        <f t="shared" si="16"/>
        <v>0</v>
      </c>
      <c r="BI35" s="45">
        <f t="shared" si="17"/>
        <v>0</v>
      </c>
      <c r="BJ35" s="45" t="str">
        <f t="shared" si="18"/>
        <v>#DIV/0!</v>
      </c>
    </row>
    <row r="36" ht="15.75" customHeight="1">
      <c r="A36" s="52">
        <v>25.0</v>
      </c>
      <c r="B36" s="45"/>
      <c r="C36" s="45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52">
        <f t="shared" si="1"/>
        <v>0</v>
      </c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52">
        <f t="shared" si="2"/>
        <v>0</v>
      </c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52">
        <f t="shared" si="3"/>
        <v>0</v>
      </c>
      <c r="AR36" s="45">
        <f t="shared" si="4"/>
        <v>0</v>
      </c>
      <c r="AS36" s="45">
        <f t="shared" si="5"/>
        <v>0</v>
      </c>
      <c r="AT36" s="45" t="str">
        <f t="shared" si="6"/>
        <v>#DIV/0!</v>
      </c>
      <c r="AV36" s="45">
        <f t="shared" si="7"/>
        <v>0</v>
      </c>
      <c r="AW36" s="45">
        <f t="shared" si="8"/>
        <v>0</v>
      </c>
      <c r="AX36" s="45" t="str">
        <f t="shared" si="9"/>
        <v>#DIV/0!</v>
      </c>
      <c r="AZ36" s="45">
        <f t="shared" si="10"/>
        <v>0</v>
      </c>
      <c r="BA36" s="45">
        <f t="shared" si="11"/>
        <v>0</v>
      </c>
      <c r="BB36" s="45" t="str">
        <f t="shared" si="12"/>
        <v>#DIV/0!</v>
      </c>
      <c r="BD36" s="45">
        <f t="shared" si="13"/>
        <v>0</v>
      </c>
      <c r="BE36" s="45">
        <f t="shared" si="14"/>
        <v>0</v>
      </c>
      <c r="BF36" s="45" t="str">
        <f t="shared" si="15"/>
        <v>#DIV/0!</v>
      </c>
      <c r="BH36" s="45">
        <f t="shared" si="16"/>
        <v>0</v>
      </c>
      <c r="BI36" s="45">
        <f t="shared" si="17"/>
        <v>0</v>
      </c>
      <c r="BJ36" s="45" t="str">
        <f t="shared" si="18"/>
        <v>#DIV/0!</v>
      </c>
    </row>
    <row r="37" ht="15.75" customHeight="1">
      <c r="A37" s="52">
        <v>26.0</v>
      </c>
      <c r="B37" s="45"/>
      <c r="C37" s="45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52">
        <f t="shared" si="1"/>
        <v>0</v>
      </c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52">
        <f t="shared" si="2"/>
        <v>0</v>
      </c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52">
        <f t="shared" si="3"/>
        <v>0</v>
      </c>
      <c r="AR37" s="45">
        <f t="shared" si="4"/>
        <v>0</v>
      </c>
      <c r="AS37" s="45">
        <f t="shared" si="5"/>
        <v>0</v>
      </c>
      <c r="AT37" s="45" t="str">
        <f t="shared" si="6"/>
        <v>#DIV/0!</v>
      </c>
      <c r="AV37" s="45">
        <f t="shared" si="7"/>
        <v>0</v>
      </c>
      <c r="AW37" s="45">
        <f t="shared" si="8"/>
        <v>0</v>
      </c>
      <c r="AX37" s="45" t="str">
        <f t="shared" si="9"/>
        <v>#DIV/0!</v>
      </c>
      <c r="AZ37" s="45">
        <f t="shared" si="10"/>
        <v>0</v>
      </c>
      <c r="BA37" s="45">
        <f t="shared" si="11"/>
        <v>0</v>
      </c>
      <c r="BB37" s="45" t="str">
        <f t="shared" si="12"/>
        <v>#DIV/0!</v>
      </c>
      <c r="BD37" s="45">
        <f t="shared" si="13"/>
        <v>0</v>
      </c>
      <c r="BE37" s="45">
        <f t="shared" si="14"/>
        <v>0</v>
      </c>
      <c r="BF37" s="45" t="str">
        <f t="shared" si="15"/>
        <v>#DIV/0!</v>
      </c>
      <c r="BH37" s="45">
        <f t="shared" si="16"/>
        <v>0</v>
      </c>
      <c r="BI37" s="45">
        <f t="shared" si="17"/>
        <v>0</v>
      </c>
      <c r="BJ37" s="45" t="str">
        <f t="shared" si="18"/>
        <v>#DIV/0!</v>
      </c>
    </row>
    <row r="38" ht="15.75" customHeight="1">
      <c r="A38" s="52">
        <v>27.0</v>
      </c>
      <c r="B38" s="45"/>
      <c r="C38" s="45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52">
        <f t="shared" si="1"/>
        <v>0</v>
      </c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52">
        <f t="shared" si="2"/>
        <v>0</v>
      </c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52">
        <f t="shared" si="3"/>
        <v>0</v>
      </c>
      <c r="AR38" s="45">
        <f t="shared" si="4"/>
        <v>0</v>
      </c>
      <c r="AS38" s="45">
        <f t="shared" si="5"/>
        <v>0</v>
      </c>
      <c r="AT38" s="45" t="str">
        <f t="shared" si="6"/>
        <v>#DIV/0!</v>
      </c>
      <c r="AV38" s="45">
        <f t="shared" si="7"/>
        <v>0</v>
      </c>
      <c r="AW38" s="45">
        <f t="shared" si="8"/>
        <v>0</v>
      </c>
      <c r="AX38" s="45" t="str">
        <f t="shared" si="9"/>
        <v>#DIV/0!</v>
      </c>
      <c r="AZ38" s="45">
        <f t="shared" si="10"/>
        <v>0</v>
      </c>
      <c r="BA38" s="45">
        <f t="shared" si="11"/>
        <v>0</v>
      </c>
      <c r="BB38" s="45" t="str">
        <f t="shared" si="12"/>
        <v>#DIV/0!</v>
      </c>
      <c r="BD38" s="45">
        <f t="shared" si="13"/>
        <v>0</v>
      </c>
      <c r="BE38" s="45">
        <f t="shared" si="14"/>
        <v>0</v>
      </c>
      <c r="BF38" s="45" t="str">
        <f t="shared" si="15"/>
        <v>#DIV/0!</v>
      </c>
      <c r="BH38" s="45">
        <f t="shared" si="16"/>
        <v>0</v>
      </c>
      <c r="BI38" s="45">
        <f t="shared" si="17"/>
        <v>0</v>
      </c>
      <c r="BJ38" s="45" t="str">
        <f t="shared" si="18"/>
        <v>#DIV/0!</v>
      </c>
    </row>
    <row r="39" ht="15.75" customHeight="1">
      <c r="A39" s="52">
        <v>28.0</v>
      </c>
      <c r="B39" s="45"/>
      <c r="C39" s="45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52">
        <f t="shared" si="1"/>
        <v>0</v>
      </c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52">
        <f t="shared" si="2"/>
        <v>0</v>
      </c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52">
        <f t="shared" si="3"/>
        <v>0</v>
      </c>
      <c r="AR39" s="45">
        <f t="shared" si="4"/>
        <v>0</v>
      </c>
      <c r="AS39" s="45">
        <f t="shared" si="5"/>
        <v>0</v>
      </c>
      <c r="AT39" s="45" t="str">
        <f t="shared" si="6"/>
        <v>#DIV/0!</v>
      </c>
      <c r="AV39" s="45">
        <f t="shared" si="7"/>
        <v>0</v>
      </c>
      <c r="AW39" s="45">
        <f t="shared" si="8"/>
        <v>0</v>
      </c>
      <c r="AX39" s="45" t="str">
        <f t="shared" si="9"/>
        <v>#DIV/0!</v>
      </c>
      <c r="AZ39" s="45">
        <f t="shared" si="10"/>
        <v>0</v>
      </c>
      <c r="BA39" s="45">
        <f t="shared" si="11"/>
        <v>0</v>
      </c>
      <c r="BB39" s="45" t="str">
        <f t="shared" si="12"/>
        <v>#DIV/0!</v>
      </c>
      <c r="BD39" s="45">
        <f t="shared" si="13"/>
        <v>0</v>
      </c>
      <c r="BE39" s="45">
        <f t="shared" si="14"/>
        <v>0</v>
      </c>
      <c r="BF39" s="45" t="str">
        <f t="shared" si="15"/>
        <v>#DIV/0!</v>
      </c>
      <c r="BH39" s="45">
        <f t="shared" si="16"/>
        <v>0</v>
      </c>
      <c r="BI39" s="45">
        <f t="shared" si="17"/>
        <v>0</v>
      </c>
      <c r="BJ39" s="45" t="str">
        <f t="shared" si="18"/>
        <v>#DIV/0!</v>
      </c>
    </row>
    <row r="40" ht="15.75" customHeight="1">
      <c r="A40" s="52">
        <v>29.0</v>
      </c>
      <c r="B40" s="45"/>
      <c r="C40" s="45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52">
        <f t="shared" si="1"/>
        <v>0</v>
      </c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52">
        <f t="shared" si="2"/>
        <v>0</v>
      </c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52">
        <f t="shared" si="3"/>
        <v>0</v>
      </c>
      <c r="AR40" s="45">
        <f t="shared" si="4"/>
        <v>0</v>
      </c>
      <c r="AS40" s="45">
        <f t="shared" si="5"/>
        <v>0</v>
      </c>
      <c r="AT40" s="45" t="str">
        <f t="shared" si="6"/>
        <v>#DIV/0!</v>
      </c>
      <c r="AV40" s="45">
        <f t="shared" si="7"/>
        <v>0</v>
      </c>
      <c r="AW40" s="45">
        <f t="shared" si="8"/>
        <v>0</v>
      </c>
      <c r="AX40" s="45" t="str">
        <f t="shared" si="9"/>
        <v>#DIV/0!</v>
      </c>
      <c r="AZ40" s="45">
        <f t="shared" si="10"/>
        <v>0</v>
      </c>
      <c r="BA40" s="45">
        <f t="shared" si="11"/>
        <v>0</v>
      </c>
      <c r="BB40" s="45" t="str">
        <f t="shared" si="12"/>
        <v>#DIV/0!</v>
      </c>
      <c r="BD40" s="45">
        <f t="shared" si="13"/>
        <v>0</v>
      </c>
      <c r="BE40" s="45">
        <f t="shared" si="14"/>
        <v>0</v>
      </c>
      <c r="BF40" s="45" t="str">
        <f t="shared" si="15"/>
        <v>#DIV/0!</v>
      </c>
      <c r="BH40" s="45">
        <f t="shared" si="16"/>
        <v>0</v>
      </c>
      <c r="BI40" s="45">
        <f t="shared" si="17"/>
        <v>0</v>
      </c>
      <c r="BJ40" s="45" t="str">
        <f t="shared" si="18"/>
        <v>#DIV/0!</v>
      </c>
    </row>
    <row r="41" ht="15.75" customHeight="1">
      <c r="A41" s="52">
        <v>30.0</v>
      </c>
      <c r="B41" s="45"/>
      <c r="C41" s="45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52">
        <f t="shared" si="1"/>
        <v>0</v>
      </c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52">
        <f t="shared" si="2"/>
        <v>0</v>
      </c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52">
        <f t="shared" si="3"/>
        <v>0</v>
      </c>
      <c r="AR41" s="45">
        <f t="shared" si="4"/>
        <v>0</v>
      </c>
      <c r="AS41" s="45">
        <f t="shared" si="5"/>
        <v>0</v>
      </c>
      <c r="AT41" s="45" t="str">
        <f t="shared" si="6"/>
        <v>#DIV/0!</v>
      </c>
      <c r="AV41" s="45">
        <f t="shared" si="7"/>
        <v>0</v>
      </c>
      <c r="AW41" s="45">
        <f t="shared" si="8"/>
        <v>0</v>
      </c>
      <c r="AX41" s="45" t="str">
        <f t="shared" si="9"/>
        <v>#DIV/0!</v>
      </c>
      <c r="AZ41" s="45">
        <f t="shared" si="10"/>
        <v>0</v>
      </c>
      <c r="BA41" s="45">
        <f t="shared" si="11"/>
        <v>0</v>
      </c>
      <c r="BB41" s="45" t="str">
        <f t="shared" si="12"/>
        <v>#DIV/0!</v>
      </c>
      <c r="BD41" s="45">
        <f t="shared" si="13"/>
        <v>0</v>
      </c>
      <c r="BE41" s="45">
        <f t="shared" si="14"/>
        <v>0</v>
      </c>
      <c r="BF41" s="45" t="str">
        <f t="shared" si="15"/>
        <v>#DIV/0!</v>
      </c>
      <c r="BH41" s="45">
        <f t="shared" si="16"/>
        <v>0</v>
      </c>
      <c r="BI41" s="45">
        <f t="shared" si="17"/>
        <v>0</v>
      </c>
      <c r="BJ41" s="45" t="str">
        <f t="shared" si="18"/>
        <v>#DIV/0!</v>
      </c>
    </row>
    <row r="42" ht="15.75" customHeight="1">
      <c r="A42" s="52">
        <v>31.0</v>
      </c>
      <c r="B42" s="45"/>
      <c r="C42" s="45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52">
        <f t="shared" si="1"/>
        <v>0</v>
      </c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52">
        <f t="shared" si="2"/>
        <v>0</v>
      </c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52">
        <f t="shared" si="3"/>
        <v>0</v>
      </c>
      <c r="AR42" s="45">
        <f t="shared" si="4"/>
        <v>0</v>
      </c>
      <c r="AS42" s="45">
        <f t="shared" si="5"/>
        <v>0</v>
      </c>
      <c r="AT42" s="45" t="str">
        <f t="shared" si="6"/>
        <v>#DIV/0!</v>
      </c>
      <c r="AV42" s="45">
        <f t="shared" si="7"/>
        <v>0</v>
      </c>
      <c r="AW42" s="45">
        <f t="shared" si="8"/>
        <v>0</v>
      </c>
      <c r="AX42" s="45" t="str">
        <f t="shared" si="9"/>
        <v>#DIV/0!</v>
      </c>
      <c r="AZ42" s="45">
        <f t="shared" si="10"/>
        <v>0</v>
      </c>
      <c r="BA42" s="45">
        <f t="shared" si="11"/>
        <v>0</v>
      </c>
      <c r="BB42" s="45" t="str">
        <f t="shared" si="12"/>
        <v>#DIV/0!</v>
      </c>
      <c r="BD42" s="45">
        <f t="shared" si="13"/>
        <v>0</v>
      </c>
      <c r="BE42" s="45">
        <f t="shared" si="14"/>
        <v>0</v>
      </c>
      <c r="BF42" s="45" t="str">
        <f t="shared" si="15"/>
        <v>#DIV/0!</v>
      </c>
      <c r="BH42" s="45">
        <f t="shared" si="16"/>
        <v>0</v>
      </c>
      <c r="BI42" s="45">
        <f t="shared" si="17"/>
        <v>0</v>
      </c>
      <c r="BJ42" s="45" t="str">
        <f t="shared" si="18"/>
        <v>#DIV/0!</v>
      </c>
    </row>
    <row r="43" ht="15.75" customHeight="1">
      <c r="A43" s="52">
        <v>32.0</v>
      </c>
      <c r="B43" s="45"/>
      <c r="C43" s="45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52">
        <f t="shared" si="1"/>
        <v>0</v>
      </c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52">
        <f t="shared" si="2"/>
        <v>0</v>
      </c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52">
        <f t="shared" si="3"/>
        <v>0</v>
      </c>
      <c r="AR43" s="45">
        <f t="shared" si="4"/>
        <v>0</v>
      </c>
      <c r="AS43" s="45">
        <f t="shared" si="5"/>
        <v>0</v>
      </c>
      <c r="AT43" s="45" t="str">
        <f t="shared" si="6"/>
        <v>#DIV/0!</v>
      </c>
      <c r="AV43" s="45">
        <f t="shared" si="7"/>
        <v>0</v>
      </c>
      <c r="AW43" s="45">
        <f t="shared" si="8"/>
        <v>0</v>
      </c>
      <c r="AX43" s="45" t="str">
        <f t="shared" si="9"/>
        <v>#DIV/0!</v>
      </c>
      <c r="AZ43" s="45">
        <f t="shared" si="10"/>
        <v>0</v>
      </c>
      <c r="BA43" s="45">
        <f t="shared" si="11"/>
        <v>0</v>
      </c>
      <c r="BB43" s="45" t="str">
        <f t="shared" si="12"/>
        <v>#DIV/0!</v>
      </c>
      <c r="BD43" s="45">
        <f t="shared" si="13"/>
        <v>0</v>
      </c>
      <c r="BE43" s="45">
        <f t="shared" si="14"/>
        <v>0</v>
      </c>
      <c r="BF43" s="45" t="str">
        <f t="shared" si="15"/>
        <v>#DIV/0!</v>
      </c>
      <c r="BH43" s="45">
        <f t="shared" si="16"/>
        <v>0</v>
      </c>
      <c r="BI43" s="45">
        <f t="shared" si="17"/>
        <v>0</v>
      </c>
      <c r="BJ43" s="45" t="str">
        <f t="shared" si="18"/>
        <v>#DIV/0!</v>
      </c>
    </row>
    <row r="44" ht="15.75" customHeight="1">
      <c r="A44" s="52">
        <v>33.0</v>
      </c>
      <c r="B44" s="45"/>
      <c r="C44" s="45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52">
        <f t="shared" si="1"/>
        <v>0</v>
      </c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52">
        <f t="shared" si="2"/>
        <v>0</v>
      </c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52">
        <f t="shared" si="3"/>
        <v>0</v>
      </c>
      <c r="AR44" s="45">
        <f t="shared" si="4"/>
        <v>0</v>
      </c>
      <c r="AS44" s="45">
        <f t="shared" si="5"/>
        <v>0</v>
      </c>
      <c r="AT44" s="45" t="str">
        <f t="shared" si="6"/>
        <v>#DIV/0!</v>
      </c>
      <c r="AV44" s="45">
        <f t="shared" si="7"/>
        <v>0</v>
      </c>
      <c r="AW44" s="45">
        <f t="shared" si="8"/>
        <v>0</v>
      </c>
      <c r="AX44" s="45" t="str">
        <f t="shared" si="9"/>
        <v>#DIV/0!</v>
      </c>
      <c r="AZ44" s="45">
        <f t="shared" si="10"/>
        <v>0</v>
      </c>
      <c r="BA44" s="45">
        <f t="shared" si="11"/>
        <v>0</v>
      </c>
      <c r="BB44" s="45" t="str">
        <f t="shared" si="12"/>
        <v>#DIV/0!</v>
      </c>
      <c r="BD44" s="45">
        <f t="shared" si="13"/>
        <v>0</v>
      </c>
      <c r="BE44" s="45">
        <f t="shared" si="14"/>
        <v>0</v>
      </c>
      <c r="BF44" s="45" t="str">
        <f t="shared" si="15"/>
        <v>#DIV/0!</v>
      </c>
      <c r="BH44" s="45">
        <f t="shared" si="16"/>
        <v>0</v>
      </c>
      <c r="BI44" s="45">
        <f t="shared" si="17"/>
        <v>0</v>
      </c>
      <c r="BJ44" s="45" t="str">
        <f t="shared" si="18"/>
        <v>#DIV/0!</v>
      </c>
    </row>
    <row r="45" ht="15.75" customHeight="1">
      <c r="A45" s="52">
        <v>34.0</v>
      </c>
      <c r="B45" s="45"/>
      <c r="C45" s="45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52">
        <f t="shared" si="1"/>
        <v>0</v>
      </c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52">
        <f t="shared" si="2"/>
        <v>0</v>
      </c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52">
        <f t="shared" si="3"/>
        <v>0</v>
      </c>
      <c r="AR45" s="45">
        <f t="shared" si="4"/>
        <v>0</v>
      </c>
      <c r="AS45" s="45">
        <f t="shared" si="5"/>
        <v>0</v>
      </c>
      <c r="AT45" s="45" t="str">
        <f t="shared" si="6"/>
        <v>#DIV/0!</v>
      </c>
      <c r="AV45" s="45">
        <f t="shared" si="7"/>
        <v>0</v>
      </c>
      <c r="AW45" s="45">
        <f t="shared" si="8"/>
        <v>0</v>
      </c>
      <c r="AX45" s="45" t="str">
        <f t="shared" si="9"/>
        <v>#DIV/0!</v>
      </c>
      <c r="AZ45" s="45">
        <f t="shared" si="10"/>
        <v>0</v>
      </c>
      <c r="BA45" s="45">
        <f t="shared" si="11"/>
        <v>0</v>
      </c>
      <c r="BB45" s="45" t="str">
        <f t="shared" si="12"/>
        <v>#DIV/0!</v>
      </c>
      <c r="BD45" s="45">
        <f t="shared" si="13"/>
        <v>0</v>
      </c>
      <c r="BE45" s="45">
        <f t="shared" si="14"/>
        <v>0</v>
      </c>
      <c r="BF45" s="45" t="str">
        <f t="shared" si="15"/>
        <v>#DIV/0!</v>
      </c>
      <c r="BH45" s="45">
        <f t="shared" si="16"/>
        <v>0</v>
      </c>
      <c r="BI45" s="45">
        <f t="shared" si="17"/>
        <v>0</v>
      </c>
      <c r="BJ45" s="45" t="str">
        <f t="shared" si="18"/>
        <v>#DIV/0!</v>
      </c>
    </row>
    <row r="46" ht="15.75" customHeight="1">
      <c r="A46" s="52">
        <v>35.0</v>
      </c>
      <c r="B46" s="45"/>
      <c r="C46" s="45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52">
        <f t="shared" si="1"/>
        <v>0</v>
      </c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52">
        <f t="shared" si="2"/>
        <v>0</v>
      </c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52">
        <f t="shared" si="3"/>
        <v>0</v>
      </c>
      <c r="AR46" s="45">
        <f t="shared" si="4"/>
        <v>0</v>
      </c>
      <c r="AS46" s="45">
        <f t="shared" si="5"/>
        <v>0</v>
      </c>
      <c r="AT46" s="45" t="str">
        <f t="shared" si="6"/>
        <v>#DIV/0!</v>
      </c>
      <c r="AV46" s="45">
        <f t="shared" si="7"/>
        <v>0</v>
      </c>
      <c r="AW46" s="45">
        <f t="shared" si="8"/>
        <v>0</v>
      </c>
      <c r="AX46" s="45" t="str">
        <f t="shared" si="9"/>
        <v>#DIV/0!</v>
      </c>
      <c r="AZ46" s="45">
        <f t="shared" si="10"/>
        <v>0</v>
      </c>
      <c r="BA46" s="45">
        <f t="shared" si="11"/>
        <v>0</v>
      </c>
      <c r="BB46" s="45" t="str">
        <f t="shared" si="12"/>
        <v>#DIV/0!</v>
      </c>
      <c r="BD46" s="45">
        <f t="shared" si="13"/>
        <v>0</v>
      </c>
      <c r="BE46" s="45">
        <f t="shared" si="14"/>
        <v>0</v>
      </c>
      <c r="BF46" s="45" t="str">
        <f t="shared" si="15"/>
        <v>#DIV/0!</v>
      </c>
      <c r="BH46" s="45">
        <f t="shared" si="16"/>
        <v>0</v>
      </c>
      <c r="BI46" s="45">
        <f t="shared" si="17"/>
        <v>0</v>
      </c>
      <c r="BJ46" s="45" t="str">
        <f t="shared" si="18"/>
        <v>#DIV/0!</v>
      </c>
    </row>
    <row r="47" ht="15.75" customHeight="1">
      <c r="A47" s="52">
        <v>36.0</v>
      </c>
      <c r="B47" s="45"/>
      <c r="C47" s="45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52">
        <f t="shared" si="1"/>
        <v>0</v>
      </c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52">
        <f t="shared" si="2"/>
        <v>0</v>
      </c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52">
        <f t="shared" si="3"/>
        <v>0</v>
      </c>
      <c r="AR47" s="45">
        <f t="shared" si="4"/>
        <v>0</v>
      </c>
      <c r="AS47" s="45">
        <f t="shared" si="5"/>
        <v>0</v>
      </c>
      <c r="AT47" s="45" t="str">
        <f t="shared" si="6"/>
        <v>#DIV/0!</v>
      </c>
      <c r="AV47" s="45">
        <f t="shared" si="7"/>
        <v>0</v>
      </c>
      <c r="AW47" s="45">
        <f t="shared" si="8"/>
        <v>0</v>
      </c>
      <c r="AX47" s="45" t="str">
        <f t="shared" si="9"/>
        <v>#DIV/0!</v>
      </c>
      <c r="AZ47" s="45">
        <f t="shared" si="10"/>
        <v>0</v>
      </c>
      <c r="BA47" s="45">
        <f t="shared" si="11"/>
        <v>0</v>
      </c>
      <c r="BB47" s="45" t="str">
        <f t="shared" si="12"/>
        <v>#DIV/0!</v>
      </c>
      <c r="BD47" s="45">
        <f t="shared" si="13"/>
        <v>0</v>
      </c>
      <c r="BE47" s="45">
        <f t="shared" si="14"/>
        <v>0</v>
      </c>
      <c r="BF47" s="45" t="str">
        <f t="shared" si="15"/>
        <v>#DIV/0!</v>
      </c>
      <c r="BH47" s="45">
        <f t="shared" si="16"/>
        <v>0</v>
      </c>
      <c r="BI47" s="45">
        <f t="shared" si="17"/>
        <v>0</v>
      </c>
      <c r="BJ47" s="45" t="str">
        <f t="shared" si="18"/>
        <v>#DIV/0!</v>
      </c>
    </row>
    <row r="48" ht="15.75" customHeight="1">
      <c r="A48" s="52">
        <v>37.0</v>
      </c>
      <c r="B48" s="45"/>
      <c r="C48" s="45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52">
        <f t="shared" si="1"/>
        <v>0</v>
      </c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52">
        <f t="shared" si="2"/>
        <v>0</v>
      </c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52">
        <f t="shared" si="3"/>
        <v>0</v>
      </c>
      <c r="AR48" s="45">
        <f t="shared" si="4"/>
        <v>0</v>
      </c>
      <c r="AS48" s="45">
        <f t="shared" si="5"/>
        <v>0</v>
      </c>
      <c r="AT48" s="45" t="str">
        <f t="shared" si="6"/>
        <v>#DIV/0!</v>
      </c>
      <c r="AV48" s="45">
        <f t="shared" si="7"/>
        <v>0</v>
      </c>
      <c r="AW48" s="45">
        <f t="shared" si="8"/>
        <v>0</v>
      </c>
      <c r="AX48" s="45" t="str">
        <f t="shared" si="9"/>
        <v>#DIV/0!</v>
      </c>
      <c r="AZ48" s="45">
        <f t="shared" si="10"/>
        <v>0</v>
      </c>
      <c r="BA48" s="45">
        <f t="shared" si="11"/>
        <v>0</v>
      </c>
      <c r="BB48" s="45" t="str">
        <f t="shared" si="12"/>
        <v>#DIV/0!</v>
      </c>
      <c r="BD48" s="45">
        <f t="shared" si="13"/>
        <v>0</v>
      </c>
      <c r="BE48" s="45">
        <f t="shared" si="14"/>
        <v>0</v>
      </c>
      <c r="BF48" s="45" t="str">
        <f t="shared" si="15"/>
        <v>#DIV/0!</v>
      </c>
      <c r="BH48" s="45">
        <f t="shared" si="16"/>
        <v>0</v>
      </c>
      <c r="BI48" s="45">
        <f t="shared" si="17"/>
        <v>0</v>
      </c>
      <c r="BJ48" s="45" t="str">
        <f t="shared" si="18"/>
        <v>#DIV/0!</v>
      </c>
    </row>
    <row r="49" ht="15.75" customHeight="1">
      <c r="A49" s="52">
        <v>38.0</v>
      </c>
      <c r="B49" s="45"/>
      <c r="C49" s="45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52">
        <f t="shared" si="1"/>
        <v>0</v>
      </c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52">
        <f t="shared" si="2"/>
        <v>0</v>
      </c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52">
        <f t="shared" si="3"/>
        <v>0</v>
      </c>
      <c r="AR49" s="45">
        <f t="shared" si="4"/>
        <v>0</v>
      </c>
      <c r="AS49" s="45">
        <f t="shared" si="5"/>
        <v>0</v>
      </c>
      <c r="AT49" s="45" t="str">
        <f t="shared" si="6"/>
        <v>#DIV/0!</v>
      </c>
      <c r="AV49" s="45">
        <f t="shared" si="7"/>
        <v>0</v>
      </c>
      <c r="AW49" s="45">
        <f t="shared" si="8"/>
        <v>0</v>
      </c>
      <c r="AX49" s="45" t="str">
        <f t="shared" si="9"/>
        <v>#DIV/0!</v>
      </c>
      <c r="AZ49" s="45">
        <f t="shared" si="10"/>
        <v>0</v>
      </c>
      <c r="BA49" s="45">
        <f t="shared" si="11"/>
        <v>0</v>
      </c>
      <c r="BB49" s="45" t="str">
        <f t="shared" si="12"/>
        <v>#DIV/0!</v>
      </c>
      <c r="BD49" s="45">
        <f t="shared" si="13"/>
        <v>0</v>
      </c>
      <c r="BE49" s="45">
        <f t="shared" si="14"/>
        <v>0</v>
      </c>
      <c r="BF49" s="45" t="str">
        <f t="shared" si="15"/>
        <v>#DIV/0!</v>
      </c>
      <c r="BH49" s="45">
        <f t="shared" si="16"/>
        <v>0</v>
      </c>
      <c r="BI49" s="45">
        <f t="shared" si="17"/>
        <v>0</v>
      </c>
      <c r="BJ49" s="45" t="str">
        <f t="shared" si="18"/>
        <v>#DIV/0!</v>
      </c>
    </row>
    <row r="50" ht="15.75" customHeight="1">
      <c r="A50" s="52">
        <v>39.0</v>
      </c>
      <c r="B50" s="45"/>
      <c r="C50" s="45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52">
        <f t="shared" si="1"/>
        <v>0</v>
      </c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52">
        <f t="shared" si="2"/>
        <v>0</v>
      </c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52">
        <f t="shared" si="3"/>
        <v>0</v>
      </c>
      <c r="AR50" s="45">
        <f t="shared" si="4"/>
        <v>0</v>
      </c>
      <c r="AS50" s="45">
        <f t="shared" si="5"/>
        <v>0</v>
      </c>
      <c r="AT50" s="45" t="str">
        <f t="shared" si="6"/>
        <v>#DIV/0!</v>
      </c>
      <c r="AV50" s="45">
        <f t="shared" si="7"/>
        <v>0</v>
      </c>
      <c r="AW50" s="45">
        <f t="shared" si="8"/>
        <v>0</v>
      </c>
      <c r="AX50" s="45" t="str">
        <f t="shared" si="9"/>
        <v>#DIV/0!</v>
      </c>
      <c r="AZ50" s="45">
        <f t="shared" si="10"/>
        <v>0</v>
      </c>
      <c r="BA50" s="45">
        <f t="shared" si="11"/>
        <v>0</v>
      </c>
      <c r="BB50" s="45" t="str">
        <f t="shared" si="12"/>
        <v>#DIV/0!</v>
      </c>
      <c r="BD50" s="45">
        <f t="shared" si="13"/>
        <v>0</v>
      </c>
      <c r="BE50" s="45">
        <f t="shared" si="14"/>
        <v>0</v>
      </c>
      <c r="BF50" s="45" t="str">
        <f t="shared" si="15"/>
        <v>#DIV/0!</v>
      </c>
      <c r="BH50" s="45">
        <f t="shared" si="16"/>
        <v>0</v>
      </c>
      <c r="BI50" s="45">
        <f t="shared" si="17"/>
        <v>0</v>
      </c>
      <c r="BJ50" s="45" t="str">
        <f t="shared" si="18"/>
        <v>#DIV/0!</v>
      </c>
    </row>
    <row r="51" ht="15.75" customHeight="1">
      <c r="A51" s="52">
        <v>40.0</v>
      </c>
      <c r="B51" s="45"/>
      <c r="C51" s="45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52">
        <f t="shared" si="1"/>
        <v>0</v>
      </c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52">
        <f t="shared" si="2"/>
        <v>0</v>
      </c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52">
        <f t="shared" si="3"/>
        <v>0</v>
      </c>
      <c r="AR51" s="45">
        <f t="shared" si="4"/>
        <v>0</v>
      </c>
      <c r="AS51" s="45">
        <f t="shared" si="5"/>
        <v>0</v>
      </c>
      <c r="AT51" s="45" t="str">
        <f t="shared" si="6"/>
        <v>#DIV/0!</v>
      </c>
      <c r="AV51" s="45">
        <f t="shared" si="7"/>
        <v>0</v>
      </c>
      <c r="AW51" s="45">
        <f t="shared" si="8"/>
        <v>0</v>
      </c>
      <c r="AX51" s="45" t="str">
        <f t="shared" si="9"/>
        <v>#DIV/0!</v>
      </c>
      <c r="AZ51" s="45">
        <f t="shared" si="10"/>
        <v>0</v>
      </c>
      <c r="BA51" s="45">
        <f t="shared" si="11"/>
        <v>0</v>
      </c>
      <c r="BB51" s="45" t="str">
        <f t="shared" si="12"/>
        <v>#DIV/0!</v>
      </c>
      <c r="BD51" s="45">
        <f t="shared" si="13"/>
        <v>0</v>
      </c>
      <c r="BE51" s="45">
        <f t="shared" si="14"/>
        <v>0</v>
      </c>
      <c r="BF51" s="45" t="str">
        <f t="shared" si="15"/>
        <v>#DIV/0!</v>
      </c>
      <c r="BH51" s="45">
        <f t="shared" si="16"/>
        <v>0</v>
      </c>
      <c r="BI51" s="45">
        <f t="shared" si="17"/>
        <v>0</v>
      </c>
      <c r="BJ51" s="45" t="str">
        <f t="shared" si="18"/>
        <v>#DIV/0!</v>
      </c>
    </row>
    <row r="52" ht="15.75" customHeight="1">
      <c r="A52" s="52">
        <v>41.0</v>
      </c>
      <c r="B52" s="45"/>
      <c r="C52" s="45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52">
        <f t="shared" si="1"/>
        <v>0</v>
      </c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52">
        <f t="shared" si="2"/>
        <v>0</v>
      </c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52">
        <f t="shared" si="3"/>
        <v>0</v>
      </c>
      <c r="AR52" s="45">
        <f t="shared" si="4"/>
        <v>0</v>
      </c>
      <c r="AS52" s="45">
        <f t="shared" si="5"/>
        <v>0</v>
      </c>
      <c r="AT52" s="45" t="str">
        <f t="shared" si="6"/>
        <v>#DIV/0!</v>
      </c>
      <c r="AV52" s="45">
        <f t="shared" si="7"/>
        <v>0</v>
      </c>
      <c r="AW52" s="45">
        <f t="shared" si="8"/>
        <v>0</v>
      </c>
      <c r="AX52" s="45" t="str">
        <f t="shared" si="9"/>
        <v>#DIV/0!</v>
      </c>
      <c r="AZ52" s="45">
        <f t="shared" si="10"/>
        <v>0</v>
      </c>
      <c r="BA52" s="45">
        <f t="shared" si="11"/>
        <v>0</v>
      </c>
      <c r="BB52" s="45" t="str">
        <f t="shared" si="12"/>
        <v>#DIV/0!</v>
      </c>
      <c r="BD52" s="45">
        <f t="shared" si="13"/>
        <v>0</v>
      </c>
      <c r="BE52" s="45">
        <f t="shared" si="14"/>
        <v>0</v>
      </c>
      <c r="BF52" s="45" t="str">
        <f t="shared" si="15"/>
        <v>#DIV/0!</v>
      </c>
      <c r="BH52" s="45">
        <f t="shared" si="16"/>
        <v>0</v>
      </c>
      <c r="BI52" s="45">
        <f t="shared" si="17"/>
        <v>0</v>
      </c>
      <c r="BJ52" s="45" t="str">
        <f t="shared" si="18"/>
        <v>#DIV/0!</v>
      </c>
    </row>
    <row r="53" ht="15.75" customHeight="1">
      <c r="A53" s="52">
        <v>42.0</v>
      </c>
      <c r="B53" s="45"/>
      <c r="C53" s="45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52">
        <f t="shared" si="1"/>
        <v>0</v>
      </c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52">
        <f t="shared" si="2"/>
        <v>0</v>
      </c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52">
        <f t="shared" si="3"/>
        <v>0</v>
      </c>
      <c r="AR53" s="45">
        <f t="shared" si="4"/>
        <v>0</v>
      </c>
      <c r="AS53" s="45">
        <f t="shared" si="5"/>
        <v>0</v>
      </c>
      <c r="AT53" s="45" t="str">
        <f t="shared" si="6"/>
        <v>#DIV/0!</v>
      </c>
      <c r="AV53" s="45">
        <f t="shared" si="7"/>
        <v>0</v>
      </c>
      <c r="AW53" s="45">
        <f t="shared" si="8"/>
        <v>0</v>
      </c>
      <c r="AX53" s="45" t="str">
        <f t="shared" si="9"/>
        <v>#DIV/0!</v>
      </c>
      <c r="AZ53" s="45">
        <f t="shared" si="10"/>
        <v>0</v>
      </c>
      <c r="BA53" s="45">
        <f t="shared" si="11"/>
        <v>0</v>
      </c>
      <c r="BB53" s="45" t="str">
        <f t="shared" si="12"/>
        <v>#DIV/0!</v>
      </c>
      <c r="BD53" s="45">
        <f t="shared" si="13"/>
        <v>0</v>
      </c>
      <c r="BE53" s="45">
        <f t="shared" si="14"/>
        <v>0</v>
      </c>
      <c r="BF53" s="45" t="str">
        <f t="shared" si="15"/>
        <v>#DIV/0!</v>
      </c>
      <c r="BH53" s="45">
        <f t="shared" si="16"/>
        <v>0</v>
      </c>
      <c r="BI53" s="45">
        <f t="shared" si="17"/>
        <v>0</v>
      </c>
      <c r="BJ53" s="45" t="str">
        <f t="shared" si="18"/>
        <v>#DIV/0!</v>
      </c>
    </row>
    <row r="54" ht="15.75" customHeight="1">
      <c r="A54" s="52">
        <v>43.0</v>
      </c>
      <c r="B54" s="45"/>
      <c r="C54" s="45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52">
        <f t="shared" si="1"/>
        <v>0</v>
      </c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52">
        <f t="shared" si="2"/>
        <v>0</v>
      </c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52">
        <f t="shared" si="3"/>
        <v>0</v>
      </c>
      <c r="AR54" s="45">
        <f t="shared" si="4"/>
        <v>0</v>
      </c>
      <c r="AS54" s="45">
        <f t="shared" si="5"/>
        <v>0</v>
      </c>
      <c r="AT54" s="45" t="str">
        <f t="shared" si="6"/>
        <v>#DIV/0!</v>
      </c>
      <c r="AV54" s="45">
        <f t="shared" si="7"/>
        <v>0</v>
      </c>
      <c r="AW54" s="45">
        <f t="shared" si="8"/>
        <v>0</v>
      </c>
      <c r="AX54" s="45" t="str">
        <f t="shared" si="9"/>
        <v>#DIV/0!</v>
      </c>
      <c r="AZ54" s="45">
        <f t="shared" si="10"/>
        <v>0</v>
      </c>
      <c r="BA54" s="45">
        <f t="shared" si="11"/>
        <v>0</v>
      </c>
      <c r="BB54" s="45" t="str">
        <f t="shared" si="12"/>
        <v>#DIV/0!</v>
      </c>
      <c r="BD54" s="45">
        <f t="shared" si="13"/>
        <v>0</v>
      </c>
      <c r="BE54" s="45">
        <f t="shared" si="14"/>
        <v>0</v>
      </c>
      <c r="BF54" s="45" t="str">
        <f t="shared" si="15"/>
        <v>#DIV/0!</v>
      </c>
      <c r="BH54" s="45">
        <f t="shared" si="16"/>
        <v>0</v>
      </c>
      <c r="BI54" s="45">
        <f t="shared" si="17"/>
        <v>0</v>
      </c>
      <c r="BJ54" s="45" t="str">
        <f t="shared" si="18"/>
        <v>#DIV/0!</v>
      </c>
    </row>
    <row r="55" ht="15.75" customHeight="1">
      <c r="A55" s="52">
        <v>44.0</v>
      </c>
      <c r="B55" s="45"/>
      <c r="C55" s="45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52">
        <f t="shared" si="1"/>
        <v>0</v>
      </c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52">
        <f t="shared" si="2"/>
        <v>0</v>
      </c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52">
        <f t="shared" si="3"/>
        <v>0</v>
      </c>
      <c r="AR55" s="45">
        <f t="shared" si="4"/>
        <v>0</v>
      </c>
      <c r="AS55" s="45">
        <f t="shared" si="5"/>
        <v>0</v>
      </c>
      <c r="AT55" s="45" t="str">
        <f t="shared" si="6"/>
        <v>#DIV/0!</v>
      </c>
      <c r="AV55" s="45">
        <f t="shared" si="7"/>
        <v>0</v>
      </c>
      <c r="AW55" s="45">
        <f t="shared" si="8"/>
        <v>0</v>
      </c>
      <c r="AX55" s="45" t="str">
        <f t="shared" si="9"/>
        <v>#DIV/0!</v>
      </c>
      <c r="AZ55" s="45">
        <f t="shared" si="10"/>
        <v>0</v>
      </c>
      <c r="BA55" s="45">
        <f t="shared" si="11"/>
        <v>0</v>
      </c>
      <c r="BB55" s="45" t="str">
        <f t="shared" si="12"/>
        <v>#DIV/0!</v>
      </c>
      <c r="BD55" s="45">
        <f t="shared" si="13"/>
        <v>0</v>
      </c>
      <c r="BE55" s="45">
        <f t="shared" si="14"/>
        <v>0</v>
      </c>
      <c r="BF55" s="45" t="str">
        <f t="shared" si="15"/>
        <v>#DIV/0!</v>
      </c>
      <c r="BH55" s="45">
        <f t="shared" si="16"/>
        <v>0</v>
      </c>
      <c r="BI55" s="45">
        <f t="shared" si="17"/>
        <v>0</v>
      </c>
      <c r="BJ55" s="45" t="str">
        <f t="shared" si="18"/>
        <v>#DIV/0!</v>
      </c>
    </row>
    <row r="56" ht="15.75" customHeight="1">
      <c r="A56" s="52">
        <v>45.0</v>
      </c>
      <c r="B56" s="45"/>
      <c r="C56" s="45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52">
        <f t="shared" si="1"/>
        <v>0</v>
      </c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52">
        <f t="shared" si="2"/>
        <v>0</v>
      </c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52">
        <f t="shared" si="3"/>
        <v>0</v>
      </c>
      <c r="AR56" s="45">
        <f t="shared" si="4"/>
        <v>0</v>
      </c>
      <c r="AS56" s="45">
        <f t="shared" si="5"/>
        <v>0</v>
      </c>
      <c r="AT56" s="45" t="str">
        <f t="shared" si="6"/>
        <v>#DIV/0!</v>
      </c>
      <c r="AV56" s="45">
        <f t="shared" si="7"/>
        <v>0</v>
      </c>
      <c r="AW56" s="45">
        <f t="shared" si="8"/>
        <v>0</v>
      </c>
      <c r="AX56" s="45" t="str">
        <f t="shared" si="9"/>
        <v>#DIV/0!</v>
      </c>
      <c r="AZ56" s="45">
        <f t="shared" si="10"/>
        <v>0</v>
      </c>
      <c r="BA56" s="45">
        <f t="shared" si="11"/>
        <v>0</v>
      </c>
      <c r="BB56" s="45" t="str">
        <f t="shared" si="12"/>
        <v>#DIV/0!</v>
      </c>
      <c r="BD56" s="45">
        <f t="shared" si="13"/>
        <v>0</v>
      </c>
      <c r="BE56" s="45">
        <f t="shared" si="14"/>
        <v>0</v>
      </c>
      <c r="BF56" s="45" t="str">
        <f t="shared" si="15"/>
        <v>#DIV/0!</v>
      </c>
      <c r="BH56" s="45">
        <f t="shared" si="16"/>
        <v>0</v>
      </c>
      <c r="BI56" s="45">
        <f t="shared" si="17"/>
        <v>0</v>
      </c>
      <c r="BJ56" s="45" t="str">
        <f t="shared" si="18"/>
        <v>#DIV/0!</v>
      </c>
    </row>
    <row r="57" ht="15.75" customHeight="1">
      <c r="A57" s="52">
        <v>46.0</v>
      </c>
      <c r="B57" s="45"/>
      <c r="C57" s="45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52">
        <f t="shared" si="1"/>
        <v>0</v>
      </c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52">
        <f t="shared" si="2"/>
        <v>0</v>
      </c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52">
        <f t="shared" si="3"/>
        <v>0</v>
      </c>
      <c r="AR57" s="45">
        <f t="shared" si="4"/>
        <v>0</v>
      </c>
      <c r="AS57" s="45">
        <f t="shared" si="5"/>
        <v>0</v>
      </c>
      <c r="AT57" s="45" t="str">
        <f t="shared" si="6"/>
        <v>#DIV/0!</v>
      </c>
      <c r="AV57" s="45">
        <f t="shared" si="7"/>
        <v>0</v>
      </c>
      <c r="AW57" s="45">
        <f t="shared" si="8"/>
        <v>0</v>
      </c>
      <c r="AX57" s="45" t="str">
        <f t="shared" si="9"/>
        <v>#DIV/0!</v>
      </c>
      <c r="AZ57" s="45">
        <f t="shared" si="10"/>
        <v>0</v>
      </c>
      <c r="BA57" s="45">
        <f t="shared" si="11"/>
        <v>0</v>
      </c>
      <c r="BB57" s="45" t="str">
        <f t="shared" si="12"/>
        <v>#DIV/0!</v>
      </c>
      <c r="BD57" s="45">
        <f t="shared" si="13"/>
        <v>0</v>
      </c>
      <c r="BE57" s="45">
        <f t="shared" si="14"/>
        <v>0</v>
      </c>
      <c r="BF57" s="45" t="str">
        <f t="shared" si="15"/>
        <v>#DIV/0!</v>
      </c>
      <c r="BH57" s="45">
        <f t="shared" si="16"/>
        <v>0</v>
      </c>
      <c r="BI57" s="45">
        <f t="shared" si="17"/>
        <v>0</v>
      </c>
      <c r="BJ57" s="45" t="str">
        <f t="shared" si="18"/>
        <v>#DIV/0!</v>
      </c>
    </row>
    <row r="58" ht="15.75" customHeight="1">
      <c r="A58" s="52">
        <v>47.0</v>
      </c>
      <c r="B58" s="45"/>
      <c r="C58" s="45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52">
        <f t="shared" si="1"/>
        <v>0</v>
      </c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52">
        <f t="shared" si="2"/>
        <v>0</v>
      </c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52">
        <f t="shared" si="3"/>
        <v>0</v>
      </c>
      <c r="AR58" s="45">
        <f t="shared" si="4"/>
        <v>0</v>
      </c>
      <c r="AS58" s="45">
        <f t="shared" si="5"/>
        <v>0</v>
      </c>
      <c r="AT58" s="45" t="str">
        <f t="shared" si="6"/>
        <v>#DIV/0!</v>
      </c>
      <c r="AV58" s="45">
        <f t="shared" si="7"/>
        <v>0</v>
      </c>
      <c r="AW58" s="45">
        <f t="shared" si="8"/>
        <v>0</v>
      </c>
      <c r="AX58" s="45" t="str">
        <f t="shared" si="9"/>
        <v>#DIV/0!</v>
      </c>
      <c r="AZ58" s="45">
        <f t="shared" si="10"/>
        <v>0</v>
      </c>
      <c r="BA58" s="45">
        <f t="shared" si="11"/>
        <v>0</v>
      </c>
      <c r="BB58" s="45" t="str">
        <f t="shared" si="12"/>
        <v>#DIV/0!</v>
      </c>
      <c r="BD58" s="45">
        <f t="shared" si="13"/>
        <v>0</v>
      </c>
      <c r="BE58" s="45">
        <f t="shared" si="14"/>
        <v>0</v>
      </c>
      <c r="BF58" s="45" t="str">
        <f t="shared" si="15"/>
        <v>#DIV/0!</v>
      </c>
      <c r="BH58" s="45">
        <f t="shared" si="16"/>
        <v>0</v>
      </c>
      <c r="BI58" s="45">
        <f t="shared" si="17"/>
        <v>0</v>
      </c>
      <c r="BJ58" s="45" t="str">
        <f t="shared" si="18"/>
        <v>#DIV/0!</v>
      </c>
    </row>
    <row r="59" ht="15.75" customHeight="1">
      <c r="A59" s="52">
        <v>48.0</v>
      </c>
      <c r="B59" s="45"/>
      <c r="C59" s="45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52">
        <f t="shared" si="1"/>
        <v>0</v>
      </c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52">
        <f t="shared" si="2"/>
        <v>0</v>
      </c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52">
        <f t="shared" si="3"/>
        <v>0</v>
      </c>
      <c r="AR59" s="45">
        <f t="shared" si="4"/>
        <v>0</v>
      </c>
      <c r="AS59" s="45">
        <f t="shared" si="5"/>
        <v>0</v>
      </c>
      <c r="AT59" s="45" t="str">
        <f t="shared" si="6"/>
        <v>#DIV/0!</v>
      </c>
      <c r="AV59" s="45">
        <f t="shared" si="7"/>
        <v>0</v>
      </c>
      <c r="AW59" s="45">
        <f t="shared" si="8"/>
        <v>0</v>
      </c>
      <c r="AX59" s="45" t="str">
        <f t="shared" si="9"/>
        <v>#DIV/0!</v>
      </c>
      <c r="AZ59" s="45">
        <f t="shared" si="10"/>
        <v>0</v>
      </c>
      <c r="BA59" s="45">
        <f t="shared" si="11"/>
        <v>0</v>
      </c>
      <c r="BB59" s="45" t="str">
        <f t="shared" si="12"/>
        <v>#DIV/0!</v>
      </c>
      <c r="BD59" s="45">
        <f t="shared" si="13"/>
        <v>0</v>
      </c>
      <c r="BE59" s="45">
        <f t="shared" si="14"/>
        <v>0</v>
      </c>
      <c r="BF59" s="45" t="str">
        <f t="shared" si="15"/>
        <v>#DIV/0!</v>
      </c>
      <c r="BH59" s="45">
        <f t="shared" si="16"/>
        <v>0</v>
      </c>
      <c r="BI59" s="45">
        <f t="shared" si="17"/>
        <v>0</v>
      </c>
      <c r="BJ59" s="45" t="str">
        <f t="shared" si="18"/>
        <v>#DIV/0!</v>
      </c>
    </row>
    <row r="60" ht="15.75" customHeight="1">
      <c r="A60" s="52">
        <v>49.0</v>
      </c>
      <c r="B60" s="45"/>
      <c r="C60" s="45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52">
        <f t="shared" si="1"/>
        <v>0</v>
      </c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52">
        <f t="shared" si="2"/>
        <v>0</v>
      </c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52">
        <f t="shared" si="3"/>
        <v>0</v>
      </c>
      <c r="AR60" s="45">
        <f t="shared" si="4"/>
        <v>0</v>
      </c>
      <c r="AS60" s="45">
        <f t="shared" si="5"/>
        <v>0</v>
      </c>
      <c r="AT60" s="45" t="str">
        <f t="shared" si="6"/>
        <v>#DIV/0!</v>
      </c>
      <c r="AV60" s="45">
        <f t="shared" si="7"/>
        <v>0</v>
      </c>
      <c r="AW60" s="45">
        <f t="shared" si="8"/>
        <v>0</v>
      </c>
      <c r="AX60" s="45" t="str">
        <f t="shared" si="9"/>
        <v>#DIV/0!</v>
      </c>
      <c r="AZ60" s="45">
        <f t="shared" si="10"/>
        <v>0</v>
      </c>
      <c r="BA60" s="45">
        <f t="shared" si="11"/>
        <v>0</v>
      </c>
      <c r="BB60" s="45" t="str">
        <f t="shared" si="12"/>
        <v>#DIV/0!</v>
      </c>
      <c r="BD60" s="45">
        <f t="shared" si="13"/>
        <v>0</v>
      </c>
      <c r="BE60" s="45">
        <f t="shared" si="14"/>
        <v>0</v>
      </c>
      <c r="BF60" s="45" t="str">
        <f t="shared" si="15"/>
        <v>#DIV/0!</v>
      </c>
      <c r="BH60" s="45">
        <f t="shared" si="16"/>
        <v>0</v>
      </c>
      <c r="BI60" s="45">
        <f t="shared" si="17"/>
        <v>0</v>
      </c>
      <c r="BJ60" s="45" t="str">
        <f t="shared" si="18"/>
        <v>#DIV/0!</v>
      </c>
    </row>
    <row r="61" ht="15.75" customHeight="1">
      <c r="A61" s="52">
        <v>50.0</v>
      </c>
      <c r="B61" s="45"/>
      <c r="C61" s="45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52">
        <f t="shared" si="1"/>
        <v>0</v>
      </c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52">
        <f t="shared" si="2"/>
        <v>0</v>
      </c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52">
        <f t="shared" si="3"/>
        <v>0</v>
      </c>
      <c r="AR61" s="45">
        <f t="shared" si="4"/>
        <v>0</v>
      </c>
      <c r="AS61" s="45">
        <f t="shared" si="5"/>
        <v>0</v>
      </c>
      <c r="AT61" s="45" t="str">
        <f t="shared" si="6"/>
        <v>#DIV/0!</v>
      </c>
      <c r="AV61" s="45">
        <f t="shared" si="7"/>
        <v>0</v>
      </c>
      <c r="AW61" s="45">
        <f t="shared" si="8"/>
        <v>0</v>
      </c>
      <c r="AX61" s="45" t="str">
        <f t="shared" si="9"/>
        <v>#DIV/0!</v>
      </c>
      <c r="AZ61" s="45">
        <f t="shared" si="10"/>
        <v>0</v>
      </c>
      <c r="BA61" s="45">
        <f t="shared" si="11"/>
        <v>0</v>
      </c>
      <c r="BB61" s="45" t="str">
        <f t="shared" si="12"/>
        <v>#DIV/0!</v>
      </c>
      <c r="BD61" s="45">
        <f t="shared" si="13"/>
        <v>0</v>
      </c>
      <c r="BE61" s="45">
        <f t="shared" si="14"/>
        <v>0</v>
      </c>
      <c r="BF61" s="45" t="str">
        <f t="shared" si="15"/>
        <v>#DIV/0!</v>
      </c>
      <c r="BH61" s="45">
        <f t="shared" si="16"/>
        <v>0</v>
      </c>
      <c r="BI61" s="45">
        <f t="shared" si="17"/>
        <v>0</v>
      </c>
      <c r="BJ61" s="45" t="str">
        <f t="shared" si="18"/>
        <v>#DIV/0!</v>
      </c>
    </row>
    <row r="62" ht="15.75" customHeight="1">
      <c r="A62" s="52">
        <v>51.0</v>
      </c>
      <c r="B62" s="45"/>
      <c r="C62" s="45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52">
        <f t="shared" si="1"/>
        <v>0</v>
      </c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52">
        <f t="shared" si="2"/>
        <v>0</v>
      </c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52">
        <f t="shared" si="3"/>
        <v>0</v>
      </c>
      <c r="AR62" s="45">
        <f t="shared" si="4"/>
        <v>0</v>
      </c>
      <c r="AS62" s="45">
        <f t="shared" si="5"/>
        <v>0</v>
      </c>
      <c r="AT62" s="45" t="str">
        <f t="shared" si="6"/>
        <v>#DIV/0!</v>
      </c>
      <c r="AV62" s="45">
        <f t="shared" si="7"/>
        <v>0</v>
      </c>
      <c r="AW62" s="45">
        <f t="shared" si="8"/>
        <v>0</v>
      </c>
      <c r="AX62" s="45" t="str">
        <f t="shared" si="9"/>
        <v>#DIV/0!</v>
      </c>
      <c r="AZ62" s="45">
        <f t="shared" si="10"/>
        <v>0</v>
      </c>
      <c r="BA62" s="45">
        <f t="shared" si="11"/>
        <v>0</v>
      </c>
      <c r="BB62" s="45" t="str">
        <f t="shared" si="12"/>
        <v>#DIV/0!</v>
      </c>
      <c r="BD62" s="45">
        <f t="shared" si="13"/>
        <v>0</v>
      </c>
      <c r="BE62" s="45">
        <f t="shared" si="14"/>
        <v>0</v>
      </c>
      <c r="BF62" s="45" t="str">
        <f t="shared" si="15"/>
        <v>#DIV/0!</v>
      </c>
      <c r="BH62" s="45">
        <f t="shared" si="16"/>
        <v>0</v>
      </c>
      <c r="BI62" s="45">
        <f t="shared" si="17"/>
        <v>0</v>
      </c>
      <c r="BJ62" s="45" t="str">
        <f t="shared" si="18"/>
        <v>#DIV/0!</v>
      </c>
    </row>
    <row r="63" ht="15.75" customHeight="1">
      <c r="A63" s="52">
        <v>52.0</v>
      </c>
      <c r="B63" s="45"/>
      <c r="C63" s="45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52">
        <f t="shared" si="1"/>
        <v>0</v>
      </c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52">
        <f t="shared" si="2"/>
        <v>0</v>
      </c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52">
        <f t="shared" si="3"/>
        <v>0</v>
      </c>
      <c r="AR63" s="45">
        <f t="shared" si="4"/>
        <v>0</v>
      </c>
      <c r="AS63" s="45">
        <f t="shared" si="5"/>
        <v>0</v>
      </c>
      <c r="AT63" s="45" t="str">
        <f t="shared" si="6"/>
        <v>#DIV/0!</v>
      </c>
      <c r="AV63" s="45">
        <f t="shared" si="7"/>
        <v>0</v>
      </c>
      <c r="AW63" s="45">
        <f t="shared" si="8"/>
        <v>0</v>
      </c>
      <c r="AX63" s="45" t="str">
        <f t="shared" si="9"/>
        <v>#DIV/0!</v>
      </c>
      <c r="AZ63" s="45">
        <f t="shared" si="10"/>
        <v>0</v>
      </c>
      <c r="BA63" s="45">
        <f t="shared" si="11"/>
        <v>0</v>
      </c>
      <c r="BB63" s="45" t="str">
        <f t="shared" si="12"/>
        <v>#DIV/0!</v>
      </c>
      <c r="BD63" s="45">
        <f t="shared" si="13"/>
        <v>0</v>
      </c>
      <c r="BE63" s="45">
        <f t="shared" si="14"/>
        <v>0</v>
      </c>
      <c r="BF63" s="45" t="str">
        <f t="shared" si="15"/>
        <v>#DIV/0!</v>
      </c>
      <c r="BH63" s="45">
        <f t="shared" si="16"/>
        <v>0</v>
      </c>
      <c r="BI63" s="45">
        <f t="shared" si="17"/>
        <v>0</v>
      </c>
      <c r="BJ63" s="45" t="str">
        <f t="shared" si="18"/>
        <v>#DIV/0!</v>
      </c>
    </row>
    <row r="64" ht="15.75" customHeight="1">
      <c r="A64" s="52">
        <v>53.0</v>
      </c>
      <c r="B64" s="45"/>
      <c r="C64" s="45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52">
        <f t="shared" si="1"/>
        <v>0</v>
      </c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52">
        <f t="shared" si="2"/>
        <v>0</v>
      </c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52">
        <f t="shared" si="3"/>
        <v>0</v>
      </c>
      <c r="AR64" s="45">
        <f t="shared" si="4"/>
        <v>0</v>
      </c>
      <c r="AS64" s="45">
        <f t="shared" si="5"/>
        <v>0</v>
      </c>
      <c r="AT64" s="45" t="str">
        <f t="shared" si="6"/>
        <v>#DIV/0!</v>
      </c>
      <c r="AV64" s="45">
        <f t="shared" si="7"/>
        <v>0</v>
      </c>
      <c r="AW64" s="45">
        <f t="shared" si="8"/>
        <v>0</v>
      </c>
      <c r="AX64" s="45" t="str">
        <f t="shared" si="9"/>
        <v>#DIV/0!</v>
      </c>
      <c r="AZ64" s="45">
        <f t="shared" si="10"/>
        <v>0</v>
      </c>
      <c r="BA64" s="45">
        <f t="shared" si="11"/>
        <v>0</v>
      </c>
      <c r="BB64" s="45" t="str">
        <f t="shared" si="12"/>
        <v>#DIV/0!</v>
      </c>
      <c r="BD64" s="45">
        <f t="shared" si="13"/>
        <v>0</v>
      </c>
      <c r="BE64" s="45">
        <f t="shared" si="14"/>
        <v>0</v>
      </c>
      <c r="BF64" s="45" t="str">
        <f t="shared" si="15"/>
        <v>#DIV/0!</v>
      </c>
      <c r="BH64" s="45">
        <f t="shared" si="16"/>
        <v>0</v>
      </c>
      <c r="BI64" s="45">
        <f t="shared" si="17"/>
        <v>0</v>
      </c>
      <c r="BJ64" s="45" t="str">
        <f t="shared" si="18"/>
        <v>#DIV/0!</v>
      </c>
    </row>
    <row r="65" ht="15.75" customHeight="1">
      <c r="A65" s="52">
        <v>54.0</v>
      </c>
      <c r="B65" s="45"/>
      <c r="C65" s="45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52">
        <f t="shared" si="1"/>
        <v>0</v>
      </c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52">
        <f t="shared" si="2"/>
        <v>0</v>
      </c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52">
        <f t="shared" si="3"/>
        <v>0</v>
      </c>
      <c r="AR65" s="45">
        <f t="shared" si="4"/>
        <v>0</v>
      </c>
      <c r="AS65" s="45">
        <f t="shared" si="5"/>
        <v>0</v>
      </c>
      <c r="AT65" s="45" t="str">
        <f t="shared" si="6"/>
        <v>#DIV/0!</v>
      </c>
      <c r="AV65" s="45">
        <f t="shared" si="7"/>
        <v>0</v>
      </c>
      <c r="AW65" s="45">
        <f t="shared" si="8"/>
        <v>0</v>
      </c>
      <c r="AX65" s="45" t="str">
        <f t="shared" si="9"/>
        <v>#DIV/0!</v>
      </c>
      <c r="AZ65" s="45">
        <f t="shared" si="10"/>
        <v>0</v>
      </c>
      <c r="BA65" s="45">
        <f t="shared" si="11"/>
        <v>0</v>
      </c>
      <c r="BB65" s="45" t="str">
        <f t="shared" si="12"/>
        <v>#DIV/0!</v>
      </c>
      <c r="BD65" s="45">
        <f t="shared" si="13"/>
        <v>0</v>
      </c>
      <c r="BE65" s="45">
        <f t="shared" si="14"/>
        <v>0</v>
      </c>
      <c r="BF65" s="45" t="str">
        <f t="shared" si="15"/>
        <v>#DIV/0!</v>
      </c>
      <c r="BH65" s="45">
        <f t="shared" si="16"/>
        <v>0</v>
      </c>
      <c r="BI65" s="45">
        <f t="shared" si="17"/>
        <v>0</v>
      </c>
      <c r="BJ65" s="45" t="str">
        <f t="shared" si="18"/>
        <v>#DIV/0!</v>
      </c>
    </row>
    <row r="66" ht="15.75" customHeight="1">
      <c r="A66" s="52">
        <v>55.0</v>
      </c>
      <c r="B66" s="45"/>
      <c r="C66" s="45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52">
        <f t="shared" si="1"/>
        <v>0</v>
      </c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52">
        <f t="shared" si="2"/>
        <v>0</v>
      </c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52">
        <f t="shared" si="3"/>
        <v>0</v>
      </c>
      <c r="AR66" s="45">
        <f t="shared" si="4"/>
        <v>0</v>
      </c>
      <c r="AS66" s="45">
        <f t="shared" si="5"/>
        <v>0</v>
      </c>
      <c r="AT66" s="45" t="str">
        <f t="shared" si="6"/>
        <v>#DIV/0!</v>
      </c>
      <c r="AV66" s="45">
        <f t="shared" si="7"/>
        <v>0</v>
      </c>
      <c r="AW66" s="45">
        <f t="shared" si="8"/>
        <v>0</v>
      </c>
      <c r="AX66" s="45" t="str">
        <f t="shared" si="9"/>
        <v>#DIV/0!</v>
      </c>
      <c r="AZ66" s="45">
        <f t="shared" si="10"/>
        <v>0</v>
      </c>
      <c r="BA66" s="45">
        <f t="shared" si="11"/>
        <v>0</v>
      </c>
      <c r="BB66" s="45" t="str">
        <f t="shared" si="12"/>
        <v>#DIV/0!</v>
      </c>
      <c r="BD66" s="45">
        <f t="shared" si="13"/>
        <v>0</v>
      </c>
      <c r="BE66" s="45">
        <f t="shared" si="14"/>
        <v>0</v>
      </c>
      <c r="BF66" s="45" t="str">
        <f t="shared" si="15"/>
        <v>#DIV/0!</v>
      </c>
      <c r="BH66" s="45">
        <f t="shared" si="16"/>
        <v>0</v>
      </c>
      <c r="BI66" s="45">
        <f t="shared" si="17"/>
        <v>0</v>
      </c>
      <c r="BJ66" s="45" t="str">
        <f t="shared" si="18"/>
        <v>#DIV/0!</v>
      </c>
    </row>
    <row r="67" ht="15.75" customHeight="1">
      <c r="A67" s="52">
        <v>56.0</v>
      </c>
      <c r="B67" s="45"/>
      <c r="C67" s="45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52">
        <f t="shared" si="1"/>
        <v>0</v>
      </c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52">
        <f t="shared" si="2"/>
        <v>0</v>
      </c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52">
        <f t="shared" si="3"/>
        <v>0</v>
      </c>
      <c r="AR67" s="45">
        <f t="shared" si="4"/>
        <v>0</v>
      </c>
      <c r="AS67" s="45">
        <f t="shared" si="5"/>
        <v>0</v>
      </c>
      <c r="AT67" s="45" t="str">
        <f t="shared" si="6"/>
        <v>#DIV/0!</v>
      </c>
      <c r="AV67" s="45">
        <f t="shared" si="7"/>
        <v>0</v>
      </c>
      <c r="AW67" s="45">
        <f t="shared" si="8"/>
        <v>0</v>
      </c>
      <c r="AX67" s="45" t="str">
        <f t="shared" si="9"/>
        <v>#DIV/0!</v>
      </c>
      <c r="AZ67" s="45">
        <f t="shared" si="10"/>
        <v>0</v>
      </c>
      <c r="BA67" s="45">
        <f t="shared" si="11"/>
        <v>0</v>
      </c>
      <c r="BB67" s="45" t="str">
        <f t="shared" si="12"/>
        <v>#DIV/0!</v>
      </c>
      <c r="BD67" s="45">
        <f t="shared" si="13"/>
        <v>0</v>
      </c>
      <c r="BE67" s="45">
        <f t="shared" si="14"/>
        <v>0</v>
      </c>
      <c r="BF67" s="45" t="str">
        <f t="shared" si="15"/>
        <v>#DIV/0!</v>
      </c>
      <c r="BH67" s="45">
        <f t="shared" si="16"/>
        <v>0</v>
      </c>
      <c r="BI67" s="45">
        <f t="shared" si="17"/>
        <v>0</v>
      </c>
      <c r="BJ67" s="45" t="str">
        <f t="shared" si="18"/>
        <v>#DIV/0!</v>
      </c>
    </row>
    <row r="68" ht="15.75" customHeight="1">
      <c r="A68" s="52">
        <v>57.0</v>
      </c>
      <c r="B68" s="45"/>
      <c r="C68" s="45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52">
        <f t="shared" si="1"/>
        <v>0</v>
      </c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52">
        <f t="shared" si="2"/>
        <v>0</v>
      </c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52">
        <f t="shared" si="3"/>
        <v>0</v>
      </c>
      <c r="AR68" s="45">
        <f t="shared" si="4"/>
        <v>0</v>
      </c>
      <c r="AS68" s="45">
        <f t="shared" si="5"/>
        <v>0</v>
      </c>
      <c r="AT68" s="45" t="str">
        <f t="shared" si="6"/>
        <v>#DIV/0!</v>
      </c>
      <c r="AV68" s="45">
        <f t="shared" si="7"/>
        <v>0</v>
      </c>
      <c r="AW68" s="45">
        <f t="shared" si="8"/>
        <v>0</v>
      </c>
      <c r="AX68" s="45" t="str">
        <f t="shared" si="9"/>
        <v>#DIV/0!</v>
      </c>
      <c r="AZ68" s="45">
        <f t="shared" si="10"/>
        <v>0</v>
      </c>
      <c r="BA68" s="45">
        <f t="shared" si="11"/>
        <v>0</v>
      </c>
      <c r="BB68" s="45" t="str">
        <f t="shared" si="12"/>
        <v>#DIV/0!</v>
      </c>
      <c r="BD68" s="45">
        <f t="shared" si="13"/>
        <v>0</v>
      </c>
      <c r="BE68" s="45">
        <f t="shared" si="14"/>
        <v>0</v>
      </c>
      <c r="BF68" s="45" t="str">
        <f t="shared" si="15"/>
        <v>#DIV/0!</v>
      </c>
      <c r="BH68" s="45">
        <f t="shared" si="16"/>
        <v>0</v>
      </c>
      <c r="BI68" s="45">
        <f t="shared" si="17"/>
        <v>0</v>
      </c>
      <c r="BJ68" s="45" t="str">
        <f t="shared" si="18"/>
        <v>#DIV/0!</v>
      </c>
    </row>
    <row r="69" ht="15.75" customHeight="1">
      <c r="A69" s="52">
        <v>58.0</v>
      </c>
      <c r="B69" s="45"/>
      <c r="C69" s="45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52">
        <f t="shared" si="1"/>
        <v>0</v>
      </c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52">
        <f t="shared" si="2"/>
        <v>0</v>
      </c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52">
        <f t="shared" si="3"/>
        <v>0</v>
      </c>
      <c r="AR69" s="45">
        <f t="shared" si="4"/>
        <v>0</v>
      </c>
      <c r="AS69" s="45">
        <f t="shared" si="5"/>
        <v>0</v>
      </c>
      <c r="AT69" s="45" t="str">
        <f t="shared" si="6"/>
        <v>#DIV/0!</v>
      </c>
      <c r="AV69" s="45">
        <f t="shared" si="7"/>
        <v>0</v>
      </c>
      <c r="AW69" s="45">
        <f t="shared" si="8"/>
        <v>0</v>
      </c>
      <c r="AX69" s="45" t="str">
        <f t="shared" si="9"/>
        <v>#DIV/0!</v>
      </c>
      <c r="AZ69" s="45">
        <f t="shared" si="10"/>
        <v>0</v>
      </c>
      <c r="BA69" s="45">
        <f t="shared" si="11"/>
        <v>0</v>
      </c>
      <c r="BB69" s="45" t="str">
        <f t="shared" si="12"/>
        <v>#DIV/0!</v>
      </c>
      <c r="BD69" s="45">
        <f t="shared" si="13"/>
        <v>0</v>
      </c>
      <c r="BE69" s="45">
        <f t="shared" si="14"/>
        <v>0</v>
      </c>
      <c r="BF69" s="45" t="str">
        <f t="shared" si="15"/>
        <v>#DIV/0!</v>
      </c>
      <c r="BH69" s="45">
        <f t="shared" si="16"/>
        <v>0</v>
      </c>
      <c r="BI69" s="45">
        <f t="shared" si="17"/>
        <v>0</v>
      </c>
      <c r="BJ69" s="45" t="str">
        <f t="shared" si="18"/>
        <v>#DIV/0!</v>
      </c>
    </row>
    <row r="70" ht="15.75" customHeight="1">
      <c r="A70" s="52">
        <v>59.0</v>
      </c>
      <c r="B70" s="45"/>
      <c r="C70" s="45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52">
        <f t="shared" si="1"/>
        <v>0</v>
      </c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52">
        <f t="shared" si="2"/>
        <v>0</v>
      </c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52">
        <f t="shared" si="3"/>
        <v>0</v>
      </c>
      <c r="AR70" s="45">
        <f t="shared" si="4"/>
        <v>0</v>
      </c>
      <c r="AS70" s="45">
        <f t="shared" si="5"/>
        <v>0</v>
      </c>
      <c r="AT70" s="45" t="str">
        <f t="shared" si="6"/>
        <v>#DIV/0!</v>
      </c>
      <c r="AV70" s="45">
        <f t="shared" si="7"/>
        <v>0</v>
      </c>
      <c r="AW70" s="45">
        <f t="shared" si="8"/>
        <v>0</v>
      </c>
      <c r="AX70" s="45" t="str">
        <f t="shared" si="9"/>
        <v>#DIV/0!</v>
      </c>
      <c r="AZ70" s="45">
        <f t="shared" si="10"/>
        <v>0</v>
      </c>
      <c r="BA70" s="45">
        <f t="shared" si="11"/>
        <v>0</v>
      </c>
      <c r="BB70" s="45" t="str">
        <f t="shared" si="12"/>
        <v>#DIV/0!</v>
      </c>
      <c r="BD70" s="45">
        <f t="shared" si="13"/>
        <v>0</v>
      </c>
      <c r="BE70" s="45">
        <f t="shared" si="14"/>
        <v>0</v>
      </c>
      <c r="BF70" s="45" t="str">
        <f t="shared" si="15"/>
        <v>#DIV/0!</v>
      </c>
      <c r="BH70" s="45">
        <f t="shared" si="16"/>
        <v>0</v>
      </c>
      <c r="BI70" s="45">
        <f t="shared" si="17"/>
        <v>0</v>
      </c>
      <c r="BJ70" s="45" t="str">
        <f t="shared" si="18"/>
        <v>#DIV/0!</v>
      </c>
    </row>
    <row r="71" ht="15.75" customHeight="1">
      <c r="A71" s="52">
        <v>60.0</v>
      </c>
      <c r="B71" s="45"/>
      <c r="C71" s="45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52">
        <f t="shared" si="1"/>
        <v>0</v>
      </c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52">
        <f t="shared" si="2"/>
        <v>0</v>
      </c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52">
        <f t="shared" si="3"/>
        <v>0</v>
      </c>
      <c r="AR71" s="45">
        <f t="shared" si="4"/>
        <v>0</v>
      </c>
      <c r="AS71" s="45">
        <f t="shared" si="5"/>
        <v>0</v>
      </c>
      <c r="AT71" s="45" t="str">
        <f t="shared" si="6"/>
        <v>#DIV/0!</v>
      </c>
      <c r="AV71" s="45">
        <f t="shared" si="7"/>
        <v>0</v>
      </c>
      <c r="AW71" s="45">
        <f t="shared" si="8"/>
        <v>0</v>
      </c>
      <c r="AX71" s="45" t="str">
        <f t="shared" si="9"/>
        <v>#DIV/0!</v>
      </c>
      <c r="AZ71" s="45">
        <f t="shared" si="10"/>
        <v>0</v>
      </c>
      <c r="BA71" s="45">
        <f t="shared" si="11"/>
        <v>0</v>
      </c>
      <c r="BB71" s="45" t="str">
        <f t="shared" si="12"/>
        <v>#DIV/0!</v>
      </c>
      <c r="BD71" s="45">
        <f t="shared" si="13"/>
        <v>0</v>
      </c>
      <c r="BE71" s="45">
        <f t="shared" si="14"/>
        <v>0</v>
      </c>
      <c r="BF71" s="45" t="str">
        <f t="shared" si="15"/>
        <v>#DIV/0!</v>
      </c>
      <c r="BH71" s="45">
        <f t="shared" si="16"/>
        <v>0</v>
      </c>
      <c r="BI71" s="45">
        <f t="shared" si="17"/>
        <v>0</v>
      </c>
      <c r="BJ71" s="45" t="str">
        <f t="shared" si="18"/>
        <v>#DIV/0!</v>
      </c>
    </row>
    <row r="72" ht="15.75" customHeight="1">
      <c r="A72" s="52">
        <v>61.0</v>
      </c>
      <c r="B72" s="45"/>
      <c r="C72" s="45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52">
        <f t="shared" si="1"/>
        <v>0</v>
      </c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52">
        <f t="shared" si="2"/>
        <v>0</v>
      </c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52">
        <f t="shared" si="3"/>
        <v>0</v>
      </c>
      <c r="AR72" s="45">
        <f t="shared" si="4"/>
        <v>0</v>
      </c>
      <c r="AS72" s="45">
        <f t="shared" si="5"/>
        <v>0</v>
      </c>
      <c r="AT72" s="45" t="str">
        <f t="shared" si="6"/>
        <v>#DIV/0!</v>
      </c>
      <c r="AV72" s="45">
        <f t="shared" si="7"/>
        <v>0</v>
      </c>
      <c r="AW72" s="45">
        <f t="shared" si="8"/>
        <v>0</v>
      </c>
      <c r="AX72" s="45" t="str">
        <f t="shared" si="9"/>
        <v>#DIV/0!</v>
      </c>
      <c r="AZ72" s="45">
        <f t="shared" si="10"/>
        <v>0</v>
      </c>
      <c r="BA72" s="45">
        <f t="shared" si="11"/>
        <v>0</v>
      </c>
      <c r="BB72" s="45" t="str">
        <f t="shared" si="12"/>
        <v>#DIV/0!</v>
      </c>
      <c r="BD72" s="45">
        <f t="shared" si="13"/>
        <v>0</v>
      </c>
      <c r="BE72" s="45">
        <f t="shared" si="14"/>
        <v>0</v>
      </c>
      <c r="BF72" s="45" t="str">
        <f t="shared" si="15"/>
        <v>#DIV/0!</v>
      </c>
      <c r="BH72" s="45">
        <f t="shared" si="16"/>
        <v>0</v>
      </c>
      <c r="BI72" s="45">
        <f t="shared" si="17"/>
        <v>0</v>
      </c>
      <c r="BJ72" s="45" t="str">
        <f t="shared" si="18"/>
        <v>#DIV/0!</v>
      </c>
    </row>
    <row r="73" ht="15.75" customHeight="1">
      <c r="A73" s="52">
        <v>62.0</v>
      </c>
      <c r="B73" s="45"/>
      <c r="C73" s="45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52">
        <f t="shared" si="1"/>
        <v>0</v>
      </c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52">
        <f t="shared" si="2"/>
        <v>0</v>
      </c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52">
        <f t="shared" si="3"/>
        <v>0</v>
      </c>
      <c r="AR73" s="45">
        <f t="shared" si="4"/>
        <v>0</v>
      </c>
      <c r="AS73" s="45">
        <f t="shared" si="5"/>
        <v>0</v>
      </c>
      <c r="AT73" s="45" t="str">
        <f t="shared" si="6"/>
        <v>#DIV/0!</v>
      </c>
      <c r="AV73" s="45">
        <f t="shared" si="7"/>
        <v>0</v>
      </c>
      <c r="AW73" s="45">
        <f t="shared" si="8"/>
        <v>0</v>
      </c>
      <c r="AX73" s="45" t="str">
        <f t="shared" si="9"/>
        <v>#DIV/0!</v>
      </c>
      <c r="AZ73" s="45">
        <f t="shared" si="10"/>
        <v>0</v>
      </c>
      <c r="BA73" s="45">
        <f t="shared" si="11"/>
        <v>0</v>
      </c>
      <c r="BB73" s="45" t="str">
        <f t="shared" si="12"/>
        <v>#DIV/0!</v>
      </c>
      <c r="BD73" s="45">
        <f t="shared" si="13"/>
        <v>0</v>
      </c>
      <c r="BE73" s="45">
        <f t="shared" si="14"/>
        <v>0</v>
      </c>
      <c r="BF73" s="45" t="str">
        <f t="shared" si="15"/>
        <v>#DIV/0!</v>
      </c>
      <c r="BH73" s="45">
        <f t="shared" si="16"/>
        <v>0</v>
      </c>
      <c r="BI73" s="45">
        <f t="shared" si="17"/>
        <v>0</v>
      </c>
      <c r="BJ73" s="45" t="str">
        <f t="shared" si="18"/>
        <v>#DIV/0!</v>
      </c>
    </row>
    <row r="74" ht="15.75" customHeight="1">
      <c r="A74" s="52">
        <v>63.0</v>
      </c>
      <c r="B74" s="45"/>
      <c r="C74" s="45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52">
        <f t="shared" si="1"/>
        <v>0</v>
      </c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52">
        <f t="shared" si="2"/>
        <v>0</v>
      </c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52">
        <f t="shared" si="3"/>
        <v>0</v>
      </c>
      <c r="AR74" s="45">
        <f t="shared" si="4"/>
        <v>0</v>
      </c>
      <c r="AS74" s="45">
        <f t="shared" si="5"/>
        <v>0</v>
      </c>
      <c r="AT74" s="45" t="str">
        <f t="shared" si="6"/>
        <v>#DIV/0!</v>
      </c>
      <c r="AV74" s="45">
        <f t="shared" si="7"/>
        <v>0</v>
      </c>
      <c r="AW74" s="45">
        <f t="shared" si="8"/>
        <v>0</v>
      </c>
      <c r="AX74" s="45" t="str">
        <f t="shared" si="9"/>
        <v>#DIV/0!</v>
      </c>
      <c r="AZ74" s="45">
        <f t="shared" si="10"/>
        <v>0</v>
      </c>
      <c r="BA74" s="45">
        <f t="shared" si="11"/>
        <v>0</v>
      </c>
      <c r="BB74" s="45" t="str">
        <f t="shared" si="12"/>
        <v>#DIV/0!</v>
      </c>
      <c r="BD74" s="45">
        <f t="shared" si="13"/>
        <v>0</v>
      </c>
      <c r="BE74" s="45">
        <f t="shared" si="14"/>
        <v>0</v>
      </c>
      <c r="BF74" s="45" t="str">
        <f t="shared" si="15"/>
        <v>#DIV/0!</v>
      </c>
      <c r="BH74" s="45">
        <f t="shared" si="16"/>
        <v>0</v>
      </c>
      <c r="BI74" s="45">
        <f t="shared" si="17"/>
        <v>0</v>
      </c>
      <c r="BJ74" s="45" t="str">
        <f t="shared" si="18"/>
        <v>#DIV/0!</v>
      </c>
    </row>
    <row r="75" ht="15.75" customHeight="1">
      <c r="A75" s="52">
        <v>64.0</v>
      </c>
      <c r="B75" s="45"/>
      <c r="C75" s="45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52">
        <f t="shared" si="1"/>
        <v>0</v>
      </c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52">
        <f t="shared" si="2"/>
        <v>0</v>
      </c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52">
        <f t="shared" si="3"/>
        <v>0</v>
      </c>
      <c r="AR75" s="45">
        <f t="shared" si="4"/>
        <v>0</v>
      </c>
      <c r="AS75" s="45">
        <f t="shared" si="5"/>
        <v>0</v>
      </c>
      <c r="AT75" s="45" t="str">
        <f t="shared" si="6"/>
        <v>#DIV/0!</v>
      </c>
      <c r="AV75" s="45">
        <f t="shared" si="7"/>
        <v>0</v>
      </c>
      <c r="AW75" s="45">
        <f t="shared" si="8"/>
        <v>0</v>
      </c>
      <c r="AX75" s="45" t="str">
        <f t="shared" si="9"/>
        <v>#DIV/0!</v>
      </c>
      <c r="AZ75" s="45">
        <f t="shared" si="10"/>
        <v>0</v>
      </c>
      <c r="BA75" s="45">
        <f t="shared" si="11"/>
        <v>0</v>
      </c>
      <c r="BB75" s="45" t="str">
        <f t="shared" si="12"/>
        <v>#DIV/0!</v>
      </c>
      <c r="BD75" s="45">
        <f t="shared" si="13"/>
        <v>0</v>
      </c>
      <c r="BE75" s="45">
        <f t="shared" si="14"/>
        <v>0</v>
      </c>
      <c r="BF75" s="45" t="str">
        <f t="shared" si="15"/>
        <v>#DIV/0!</v>
      </c>
      <c r="BH75" s="45">
        <f t="shared" si="16"/>
        <v>0</v>
      </c>
      <c r="BI75" s="45">
        <f t="shared" si="17"/>
        <v>0</v>
      </c>
      <c r="BJ75" s="45" t="str">
        <f t="shared" si="18"/>
        <v>#DIV/0!</v>
      </c>
    </row>
    <row r="76" ht="15.75" customHeight="1">
      <c r="A76" s="52">
        <v>65.0</v>
      </c>
      <c r="B76" s="45"/>
      <c r="C76" s="45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52">
        <f t="shared" si="1"/>
        <v>0</v>
      </c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52">
        <f t="shared" si="2"/>
        <v>0</v>
      </c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52">
        <f t="shared" si="3"/>
        <v>0</v>
      </c>
      <c r="AR76" s="45">
        <f t="shared" si="4"/>
        <v>0</v>
      </c>
      <c r="AS76" s="45">
        <f t="shared" si="5"/>
        <v>0</v>
      </c>
      <c r="AT76" s="45" t="str">
        <f t="shared" si="6"/>
        <v>#DIV/0!</v>
      </c>
      <c r="AV76" s="45">
        <f t="shared" si="7"/>
        <v>0</v>
      </c>
      <c r="AW76" s="45">
        <f t="shared" si="8"/>
        <v>0</v>
      </c>
      <c r="AX76" s="45" t="str">
        <f t="shared" si="9"/>
        <v>#DIV/0!</v>
      </c>
      <c r="AZ76" s="45">
        <f t="shared" si="10"/>
        <v>0</v>
      </c>
      <c r="BA76" s="45">
        <f t="shared" si="11"/>
        <v>0</v>
      </c>
      <c r="BB76" s="45" t="str">
        <f t="shared" si="12"/>
        <v>#DIV/0!</v>
      </c>
      <c r="BD76" s="45">
        <f t="shared" si="13"/>
        <v>0</v>
      </c>
      <c r="BE76" s="45">
        <f t="shared" si="14"/>
        <v>0</v>
      </c>
      <c r="BF76" s="45" t="str">
        <f t="shared" si="15"/>
        <v>#DIV/0!</v>
      </c>
      <c r="BH76" s="45">
        <f t="shared" si="16"/>
        <v>0</v>
      </c>
      <c r="BI76" s="45">
        <f t="shared" si="17"/>
        <v>0</v>
      </c>
      <c r="BJ76" s="45" t="str">
        <f t="shared" si="18"/>
        <v>#DIV/0!</v>
      </c>
    </row>
    <row r="77" ht="15.75" customHeight="1">
      <c r="A77" s="52">
        <v>66.0</v>
      </c>
      <c r="B77" s="45"/>
      <c r="C77" s="45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52">
        <f t="shared" si="1"/>
        <v>0</v>
      </c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52">
        <f t="shared" si="2"/>
        <v>0</v>
      </c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52">
        <f t="shared" si="3"/>
        <v>0</v>
      </c>
      <c r="AR77" s="45">
        <f t="shared" si="4"/>
        <v>0</v>
      </c>
      <c r="AS77" s="45">
        <f t="shared" si="5"/>
        <v>0</v>
      </c>
      <c r="AT77" s="45" t="str">
        <f t="shared" si="6"/>
        <v>#DIV/0!</v>
      </c>
      <c r="AV77" s="45">
        <f t="shared" si="7"/>
        <v>0</v>
      </c>
      <c r="AW77" s="45">
        <f t="shared" si="8"/>
        <v>0</v>
      </c>
      <c r="AX77" s="45" t="str">
        <f t="shared" si="9"/>
        <v>#DIV/0!</v>
      </c>
      <c r="AZ77" s="45">
        <f t="shared" si="10"/>
        <v>0</v>
      </c>
      <c r="BA77" s="45">
        <f t="shared" si="11"/>
        <v>0</v>
      </c>
      <c r="BB77" s="45" t="str">
        <f t="shared" si="12"/>
        <v>#DIV/0!</v>
      </c>
      <c r="BD77" s="45">
        <f t="shared" si="13"/>
        <v>0</v>
      </c>
      <c r="BE77" s="45">
        <f t="shared" si="14"/>
        <v>0</v>
      </c>
      <c r="BF77" s="45" t="str">
        <f t="shared" si="15"/>
        <v>#DIV/0!</v>
      </c>
      <c r="BH77" s="45">
        <f t="shared" si="16"/>
        <v>0</v>
      </c>
      <c r="BI77" s="45">
        <f t="shared" si="17"/>
        <v>0</v>
      </c>
      <c r="BJ77" s="45" t="str">
        <f t="shared" si="18"/>
        <v>#DIV/0!</v>
      </c>
    </row>
    <row r="78" ht="15.75" customHeight="1">
      <c r="A78" s="52">
        <v>67.0</v>
      </c>
      <c r="B78" s="45"/>
      <c r="C78" s="45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52">
        <f t="shared" si="1"/>
        <v>0</v>
      </c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52">
        <f t="shared" si="2"/>
        <v>0</v>
      </c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52">
        <f t="shared" si="3"/>
        <v>0</v>
      </c>
      <c r="AR78" s="45">
        <f t="shared" si="4"/>
        <v>0</v>
      </c>
      <c r="AS78" s="45">
        <f t="shared" si="5"/>
        <v>0</v>
      </c>
      <c r="AT78" s="45" t="str">
        <f t="shared" si="6"/>
        <v>#DIV/0!</v>
      </c>
      <c r="AV78" s="45">
        <f t="shared" si="7"/>
        <v>0</v>
      </c>
      <c r="AW78" s="45">
        <f t="shared" si="8"/>
        <v>0</v>
      </c>
      <c r="AX78" s="45" t="str">
        <f t="shared" si="9"/>
        <v>#DIV/0!</v>
      </c>
      <c r="AZ78" s="45">
        <f t="shared" si="10"/>
        <v>0</v>
      </c>
      <c r="BA78" s="45">
        <f t="shared" si="11"/>
        <v>0</v>
      </c>
      <c r="BB78" s="45" t="str">
        <f t="shared" si="12"/>
        <v>#DIV/0!</v>
      </c>
      <c r="BD78" s="45">
        <f t="shared" si="13"/>
        <v>0</v>
      </c>
      <c r="BE78" s="45">
        <f t="shared" si="14"/>
        <v>0</v>
      </c>
      <c r="BF78" s="45" t="str">
        <f t="shared" si="15"/>
        <v>#DIV/0!</v>
      </c>
      <c r="BH78" s="45">
        <f t="shared" si="16"/>
        <v>0</v>
      </c>
      <c r="BI78" s="45">
        <f t="shared" si="17"/>
        <v>0</v>
      </c>
      <c r="BJ78" s="45" t="str">
        <f t="shared" si="18"/>
        <v>#DIV/0!</v>
      </c>
    </row>
    <row r="79" ht="15.75" customHeight="1">
      <c r="A79" s="52">
        <v>68.0</v>
      </c>
      <c r="B79" s="45"/>
      <c r="C79" s="45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52">
        <f t="shared" si="1"/>
        <v>0</v>
      </c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52">
        <f t="shared" si="2"/>
        <v>0</v>
      </c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  <c r="AO79" s="109"/>
      <c r="AP79" s="52">
        <f t="shared" si="3"/>
        <v>0</v>
      </c>
      <c r="AR79" s="45">
        <f t="shared" si="4"/>
        <v>0</v>
      </c>
      <c r="AS79" s="45">
        <f t="shared" si="5"/>
        <v>0</v>
      </c>
      <c r="AT79" s="45" t="str">
        <f t="shared" si="6"/>
        <v>#DIV/0!</v>
      </c>
      <c r="AV79" s="45">
        <f t="shared" si="7"/>
        <v>0</v>
      </c>
      <c r="AW79" s="45">
        <f t="shared" si="8"/>
        <v>0</v>
      </c>
      <c r="AX79" s="45" t="str">
        <f t="shared" si="9"/>
        <v>#DIV/0!</v>
      </c>
      <c r="AZ79" s="45">
        <f t="shared" si="10"/>
        <v>0</v>
      </c>
      <c r="BA79" s="45">
        <f t="shared" si="11"/>
        <v>0</v>
      </c>
      <c r="BB79" s="45" t="str">
        <f t="shared" si="12"/>
        <v>#DIV/0!</v>
      </c>
      <c r="BD79" s="45">
        <f t="shared" si="13"/>
        <v>0</v>
      </c>
      <c r="BE79" s="45">
        <f t="shared" si="14"/>
        <v>0</v>
      </c>
      <c r="BF79" s="45" t="str">
        <f t="shared" si="15"/>
        <v>#DIV/0!</v>
      </c>
      <c r="BH79" s="45">
        <f t="shared" si="16"/>
        <v>0</v>
      </c>
      <c r="BI79" s="45">
        <f t="shared" si="17"/>
        <v>0</v>
      </c>
      <c r="BJ79" s="45" t="str">
        <f t="shared" si="18"/>
        <v>#DIV/0!</v>
      </c>
    </row>
    <row r="80" ht="15.75" customHeight="1">
      <c r="A80" s="52">
        <v>69.0</v>
      </c>
      <c r="B80" s="45"/>
      <c r="C80" s="45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52">
        <f t="shared" si="1"/>
        <v>0</v>
      </c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52">
        <f t="shared" si="2"/>
        <v>0</v>
      </c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52">
        <f t="shared" si="3"/>
        <v>0</v>
      </c>
      <c r="AR80" s="45">
        <f t="shared" si="4"/>
        <v>0</v>
      </c>
      <c r="AS80" s="45">
        <f t="shared" si="5"/>
        <v>0</v>
      </c>
      <c r="AT80" s="45" t="str">
        <f t="shared" si="6"/>
        <v>#DIV/0!</v>
      </c>
      <c r="AV80" s="45">
        <f t="shared" si="7"/>
        <v>0</v>
      </c>
      <c r="AW80" s="45">
        <f t="shared" si="8"/>
        <v>0</v>
      </c>
      <c r="AX80" s="45" t="str">
        <f t="shared" si="9"/>
        <v>#DIV/0!</v>
      </c>
      <c r="AZ80" s="45">
        <f t="shared" si="10"/>
        <v>0</v>
      </c>
      <c r="BA80" s="45">
        <f t="shared" si="11"/>
        <v>0</v>
      </c>
      <c r="BB80" s="45" t="str">
        <f t="shared" si="12"/>
        <v>#DIV/0!</v>
      </c>
      <c r="BD80" s="45">
        <f t="shared" si="13"/>
        <v>0</v>
      </c>
      <c r="BE80" s="45">
        <f t="shared" si="14"/>
        <v>0</v>
      </c>
      <c r="BF80" s="45" t="str">
        <f t="shared" si="15"/>
        <v>#DIV/0!</v>
      </c>
      <c r="BH80" s="45">
        <f t="shared" si="16"/>
        <v>0</v>
      </c>
      <c r="BI80" s="45">
        <f t="shared" si="17"/>
        <v>0</v>
      </c>
      <c r="BJ80" s="45" t="str">
        <f t="shared" si="18"/>
        <v>#DIV/0!</v>
      </c>
    </row>
    <row r="81" ht="15.75" customHeight="1">
      <c r="A81" s="52">
        <v>70.0</v>
      </c>
      <c r="B81" s="45"/>
      <c r="C81" s="45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52">
        <f t="shared" si="1"/>
        <v>0</v>
      </c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52">
        <f t="shared" si="2"/>
        <v>0</v>
      </c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  <c r="AP81" s="52">
        <f t="shared" si="3"/>
        <v>0</v>
      </c>
      <c r="AR81" s="45">
        <f t="shared" si="4"/>
        <v>0</v>
      </c>
      <c r="AS81" s="45">
        <f t="shared" si="5"/>
        <v>0</v>
      </c>
      <c r="AT81" s="45" t="str">
        <f t="shared" si="6"/>
        <v>#DIV/0!</v>
      </c>
      <c r="AV81" s="45">
        <f t="shared" si="7"/>
        <v>0</v>
      </c>
      <c r="AW81" s="45">
        <f t="shared" si="8"/>
        <v>0</v>
      </c>
      <c r="AX81" s="45" t="str">
        <f t="shared" si="9"/>
        <v>#DIV/0!</v>
      </c>
      <c r="AZ81" s="45">
        <f t="shared" si="10"/>
        <v>0</v>
      </c>
      <c r="BA81" s="45">
        <f t="shared" si="11"/>
        <v>0</v>
      </c>
      <c r="BB81" s="45" t="str">
        <f t="shared" si="12"/>
        <v>#DIV/0!</v>
      </c>
      <c r="BD81" s="45">
        <f t="shared" si="13"/>
        <v>0</v>
      </c>
      <c r="BE81" s="45">
        <f t="shared" si="14"/>
        <v>0</v>
      </c>
      <c r="BF81" s="45" t="str">
        <f t="shared" si="15"/>
        <v>#DIV/0!</v>
      </c>
      <c r="BH81" s="45">
        <f t="shared" si="16"/>
        <v>0</v>
      </c>
      <c r="BI81" s="45">
        <f t="shared" si="17"/>
        <v>0</v>
      </c>
      <c r="BJ81" s="45" t="str">
        <f t="shared" si="18"/>
        <v>#DIV/0!</v>
      </c>
    </row>
    <row r="82" ht="15.75" customHeight="1">
      <c r="A82" s="52">
        <v>71.0</v>
      </c>
      <c r="B82" s="45"/>
      <c r="C82" s="45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52">
        <f t="shared" si="1"/>
        <v>0</v>
      </c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52">
        <f t="shared" si="2"/>
        <v>0</v>
      </c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52">
        <f t="shared" si="3"/>
        <v>0</v>
      </c>
      <c r="AR82" s="45">
        <f t="shared" si="4"/>
        <v>0</v>
      </c>
      <c r="AS82" s="45">
        <f t="shared" si="5"/>
        <v>0</v>
      </c>
      <c r="AT82" s="45" t="str">
        <f t="shared" si="6"/>
        <v>#DIV/0!</v>
      </c>
      <c r="AV82" s="45">
        <f t="shared" si="7"/>
        <v>0</v>
      </c>
      <c r="AW82" s="45">
        <f t="shared" si="8"/>
        <v>0</v>
      </c>
      <c r="AX82" s="45" t="str">
        <f t="shared" si="9"/>
        <v>#DIV/0!</v>
      </c>
      <c r="AZ82" s="45">
        <f t="shared" si="10"/>
        <v>0</v>
      </c>
      <c r="BA82" s="45">
        <f t="shared" si="11"/>
        <v>0</v>
      </c>
      <c r="BB82" s="45" t="str">
        <f t="shared" si="12"/>
        <v>#DIV/0!</v>
      </c>
      <c r="BD82" s="45">
        <f t="shared" si="13"/>
        <v>0</v>
      </c>
      <c r="BE82" s="45">
        <f t="shared" si="14"/>
        <v>0</v>
      </c>
      <c r="BF82" s="45" t="str">
        <f t="shared" si="15"/>
        <v>#DIV/0!</v>
      </c>
      <c r="BH82" s="45">
        <f t="shared" si="16"/>
        <v>0</v>
      </c>
      <c r="BI82" s="45">
        <f t="shared" si="17"/>
        <v>0</v>
      </c>
      <c r="BJ82" s="45" t="str">
        <f t="shared" si="18"/>
        <v>#DIV/0!</v>
      </c>
    </row>
    <row r="83" ht="15.75" customHeight="1">
      <c r="A83" s="52">
        <v>72.0</v>
      </c>
      <c r="B83" s="45"/>
      <c r="C83" s="45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52">
        <f t="shared" si="1"/>
        <v>0</v>
      </c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52">
        <f t="shared" si="2"/>
        <v>0</v>
      </c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52">
        <f t="shared" si="3"/>
        <v>0</v>
      </c>
      <c r="AR83" s="45">
        <f t="shared" si="4"/>
        <v>0</v>
      </c>
      <c r="AS83" s="45">
        <f t="shared" si="5"/>
        <v>0</v>
      </c>
      <c r="AT83" s="45" t="str">
        <f t="shared" si="6"/>
        <v>#DIV/0!</v>
      </c>
      <c r="AV83" s="45">
        <f t="shared" si="7"/>
        <v>0</v>
      </c>
      <c r="AW83" s="45">
        <f t="shared" si="8"/>
        <v>0</v>
      </c>
      <c r="AX83" s="45" t="str">
        <f t="shared" si="9"/>
        <v>#DIV/0!</v>
      </c>
      <c r="AZ83" s="45">
        <f t="shared" si="10"/>
        <v>0</v>
      </c>
      <c r="BA83" s="45">
        <f t="shared" si="11"/>
        <v>0</v>
      </c>
      <c r="BB83" s="45" t="str">
        <f t="shared" si="12"/>
        <v>#DIV/0!</v>
      </c>
      <c r="BD83" s="45">
        <f t="shared" si="13"/>
        <v>0</v>
      </c>
      <c r="BE83" s="45">
        <f t="shared" si="14"/>
        <v>0</v>
      </c>
      <c r="BF83" s="45" t="str">
        <f t="shared" si="15"/>
        <v>#DIV/0!</v>
      </c>
      <c r="BH83" s="45">
        <f t="shared" si="16"/>
        <v>0</v>
      </c>
      <c r="BI83" s="45">
        <f t="shared" si="17"/>
        <v>0</v>
      </c>
      <c r="BJ83" s="45" t="str">
        <f t="shared" si="18"/>
        <v>#DIV/0!</v>
      </c>
    </row>
    <row r="84" ht="15.75" customHeight="1">
      <c r="A84" s="52">
        <v>73.0</v>
      </c>
      <c r="B84" s="45"/>
      <c r="C84" s="45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52">
        <f t="shared" si="1"/>
        <v>0</v>
      </c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52">
        <f t="shared" si="2"/>
        <v>0</v>
      </c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52">
        <f t="shared" si="3"/>
        <v>0</v>
      </c>
      <c r="AR84" s="45">
        <f t="shared" si="4"/>
        <v>0</v>
      </c>
      <c r="AS84" s="45">
        <f t="shared" si="5"/>
        <v>0</v>
      </c>
      <c r="AT84" s="45" t="str">
        <f t="shared" si="6"/>
        <v>#DIV/0!</v>
      </c>
      <c r="AV84" s="45">
        <f t="shared" si="7"/>
        <v>0</v>
      </c>
      <c r="AW84" s="45">
        <f t="shared" si="8"/>
        <v>0</v>
      </c>
      <c r="AX84" s="45" t="str">
        <f t="shared" si="9"/>
        <v>#DIV/0!</v>
      </c>
      <c r="AZ84" s="45">
        <f t="shared" si="10"/>
        <v>0</v>
      </c>
      <c r="BA84" s="45">
        <f t="shared" si="11"/>
        <v>0</v>
      </c>
      <c r="BB84" s="45" t="str">
        <f t="shared" si="12"/>
        <v>#DIV/0!</v>
      </c>
      <c r="BD84" s="45">
        <f t="shared" si="13"/>
        <v>0</v>
      </c>
      <c r="BE84" s="45">
        <f t="shared" si="14"/>
        <v>0</v>
      </c>
      <c r="BF84" s="45" t="str">
        <f t="shared" si="15"/>
        <v>#DIV/0!</v>
      </c>
      <c r="BH84" s="45">
        <f t="shared" si="16"/>
        <v>0</v>
      </c>
      <c r="BI84" s="45">
        <f t="shared" si="17"/>
        <v>0</v>
      </c>
      <c r="BJ84" s="45" t="str">
        <f t="shared" si="18"/>
        <v>#DIV/0!</v>
      </c>
    </row>
    <row r="85" ht="15.75" customHeight="1">
      <c r="A85" s="52">
        <v>74.0</v>
      </c>
      <c r="B85" s="45"/>
      <c r="C85" s="45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52">
        <f t="shared" si="1"/>
        <v>0</v>
      </c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52">
        <f t="shared" si="2"/>
        <v>0</v>
      </c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52">
        <f t="shared" si="3"/>
        <v>0</v>
      </c>
      <c r="AR85" s="45">
        <f t="shared" si="4"/>
        <v>0</v>
      </c>
      <c r="AS85" s="45">
        <f t="shared" si="5"/>
        <v>0</v>
      </c>
      <c r="AT85" s="45" t="str">
        <f t="shared" si="6"/>
        <v>#DIV/0!</v>
      </c>
      <c r="AV85" s="45">
        <f t="shared" si="7"/>
        <v>0</v>
      </c>
      <c r="AW85" s="45">
        <f t="shared" si="8"/>
        <v>0</v>
      </c>
      <c r="AX85" s="45" t="str">
        <f t="shared" si="9"/>
        <v>#DIV/0!</v>
      </c>
      <c r="AZ85" s="45">
        <f t="shared" si="10"/>
        <v>0</v>
      </c>
      <c r="BA85" s="45">
        <f t="shared" si="11"/>
        <v>0</v>
      </c>
      <c r="BB85" s="45" t="str">
        <f t="shared" si="12"/>
        <v>#DIV/0!</v>
      </c>
      <c r="BD85" s="45">
        <f t="shared" si="13"/>
        <v>0</v>
      </c>
      <c r="BE85" s="45">
        <f t="shared" si="14"/>
        <v>0</v>
      </c>
      <c r="BF85" s="45" t="str">
        <f t="shared" si="15"/>
        <v>#DIV/0!</v>
      </c>
      <c r="BH85" s="45">
        <f t="shared" si="16"/>
        <v>0</v>
      </c>
      <c r="BI85" s="45">
        <f t="shared" si="17"/>
        <v>0</v>
      </c>
      <c r="BJ85" s="45" t="str">
        <f t="shared" si="18"/>
        <v>#DIV/0!</v>
      </c>
    </row>
    <row r="86" ht="15.75" customHeight="1">
      <c r="A86" s="52">
        <v>75.0</v>
      </c>
      <c r="B86" s="45"/>
      <c r="C86" s="45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52">
        <f t="shared" si="1"/>
        <v>0</v>
      </c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52">
        <f t="shared" si="2"/>
        <v>0</v>
      </c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52">
        <f t="shared" si="3"/>
        <v>0</v>
      </c>
      <c r="AR86" s="45">
        <f t="shared" si="4"/>
        <v>0</v>
      </c>
      <c r="AS86" s="45">
        <f t="shared" si="5"/>
        <v>0</v>
      </c>
      <c r="AT86" s="45" t="str">
        <f t="shared" si="6"/>
        <v>#DIV/0!</v>
      </c>
      <c r="AV86" s="45">
        <f t="shared" si="7"/>
        <v>0</v>
      </c>
      <c r="AW86" s="45">
        <f t="shared" si="8"/>
        <v>0</v>
      </c>
      <c r="AX86" s="45" t="str">
        <f t="shared" si="9"/>
        <v>#DIV/0!</v>
      </c>
      <c r="AZ86" s="45">
        <f t="shared" si="10"/>
        <v>0</v>
      </c>
      <c r="BA86" s="45">
        <f t="shared" si="11"/>
        <v>0</v>
      </c>
      <c r="BB86" s="45" t="str">
        <f t="shared" si="12"/>
        <v>#DIV/0!</v>
      </c>
      <c r="BD86" s="45">
        <f t="shared" si="13"/>
        <v>0</v>
      </c>
      <c r="BE86" s="45">
        <f t="shared" si="14"/>
        <v>0</v>
      </c>
      <c r="BF86" s="45" t="str">
        <f t="shared" si="15"/>
        <v>#DIV/0!</v>
      </c>
      <c r="BH86" s="45">
        <f t="shared" si="16"/>
        <v>0</v>
      </c>
      <c r="BI86" s="45">
        <f t="shared" si="17"/>
        <v>0</v>
      </c>
      <c r="BJ86" s="45" t="str">
        <f t="shared" si="18"/>
        <v>#DIV/0!</v>
      </c>
    </row>
    <row r="87" ht="15.75" customHeight="1">
      <c r="A87" s="52">
        <v>76.0</v>
      </c>
      <c r="B87" s="45"/>
      <c r="C87" s="45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52">
        <f t="shared" si="1"/>
        <v>0</v>
      </c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52">
        <f t="shared" si="2"/>
        <v>0</v>
      </c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  <c r="AO87" s="109"/>
      <c r="AP87" s="52">
        <f t="shared" si="3"/>
        <v>0</v>
      </c>
      <c r="AR87" s="45">
        <f t="shared" si="4"/>
        <v>0</v>
      </c>
      <c r="AS87" s="45">
        <f t="shared" si="5"/>
        <v>0</v>
      </c>
      <c r="AT87" s="45" t="str">
        <f t="shared" si="6"/>
        <v>#DIV/0!</v>
      </c>
      <c r="AV87" s="45">
        <f t="shared" si="7"/>
        <v>0</v>
      </c>
      <c r="AW87" s="45">
        <f t="shared" si="8"/>
        <v>0</v>
      </c>
      <c r="AX87" s="45" t="str">
        <f t="shared" si="9"/>
        <v>#DIV/0!</v>
      </c>
      <c r="AZ87" s="45">
        <f t="shared" si="10"/>
        <v>0</v>
      </c>
      <c r="BA87" s="45">
        <f t="shared" si="11"/>
        <v>0</v>
      </c>
      <c r="BB87" s="45" t="str">
        <f t="shared" si="12"/>
        <v>#DIV/0!</v>
      </c>
      <c r="BD87" s="45">
        <f t="shared" si="13"/>
        <v>0</v>
      </c>
      <c r="BE87" s="45">
        <f t="shared" si="14"/>
        <v>0</v>
      </c>
      <c r="BF87" s="45" t="str">
        <f t="shared" si="15"/>
        <v>#DIV/0!</v>
      </c>
      <c r="BH87" s="45">
        <f t="shared" si="16"/>
        <v>0</v>
      </c>
      <c r="BI87" s="45">
        <f t="shared" si="17"/>
        <v>0</v>
      </c>
      <c r="BJ87" s="45" t="str">
        <f t="shared" si="18"/>
        <v>#DIV/0!</v>
      </c>
    </row>
    <row r="88" ht="15.75" customHeight="1">
      <c r="A88" s="52">
        <v>77.0</v>
      </c>
      <c r="B88" s="45"/>
      <c r="C88" s="45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52">
        <f t="shared" si="1"/>
        <v>0</v>
      </c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52">
        <f t="shared" si="2"/>
        <v>0</v>
      </c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  <c r="AP88" s="52">
        <f t="shared" si="3"/>
        <v>0</v>
      </c>
      <c r="AR88" s="45">
        <f t="shared" si="4"/>
        <v>0</v>
      </c>
      <c r="AS88" s="45">
        <f t="shared" si="5"/>
        <v>0</v>
      </c>
      <c r="AT88" s="45" t="str">
        <f t="shared" si="6"/>
        <v>#DIV/0!</v>
      </c>
      <c r="AV88" s="45">
        <f t="shared" si="7"/>
        <v>0</v>
      </c>
      <c r="AW88" s="45">
        <f t="shared" si="8"/>
        <v>0</v>
      </c>
      <c r="AX88" s="45" t="str">
        <f t="shared" si="9"/>
        <v>#DIV/0!</v>
      </c>
      <c r="AZ88" s="45">
        <f t="shared" si="10"/>
        <v>0</v>
      </c>
      <c r="BA88" s="45">
        <f t="shared" si="11"/>
        <v>0</v>
      </c>
      <c r="BB88" s="45" t="str">
        <f t="shared" si="12"/>
        <v>#DIV/0!</v>
      </c>
      <c r="BD88" s="45">
        <f t="shared" si="13"/>
        <v>0</v>
      </c>
      <c r="BE88" s="45">
        <f t="shared" si="14"/>
        <v>0</v>
      </c>
      <c r="BF88" s="45" t="str">
        <f t="shared" si="15"/>
        <v>#DIV/0!</v>
      </c>
      <c r="BH88" s="45">
        <f t="shared" si="16"/>
        <v>0</v>
      </c>
      <c r="BI88" s="45">
        <f t="shared" si="17"/>
        <v>0</v>
      </c>
      <c r="BJ88" s="45" t="str">
        <f t="shared" si="18"/>
        <v>#DIV/0!</v>
      </c>
    </row>
    <row r="89" ht="15.75" customHeight="1">
      <c r="A89" s="52">
        <v>78.0</v>
      </c>
      <c r="B89" s="45"/>
      <c r="C89" s="45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52">
        <f t="shared" si="1"/>
        <v>0</v>
      </c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52">
        <f t="shared" si="2"/>
        <v>0</v>
      </c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  <c r="AO89" s="109"/>
      <c r="AP89" s="52">
        <f t="shared" si="3"/>
        <v>0</v>
      </c>
      <c r="AR89" s="45">
        <f t="shared" si="4"/>
        <v>0</v>
      </c>
      <c r="AS89" s="45">
        <f t="shared" si="5"/>
        <v>0</v>
      </c>
      <c r="AT89" s="45" t="str">
        <f t="shared" si="6"/>
        <v>#DIV/0!</v>
      </c>
      <c r="AV89" s="45">
        <f t="shared" si="7"/>
        <v>0</v>
      </c>
      <c r="AW89" s="45">
        <f t="shared" si="8"/>
        <v>0</v>
      </c>
      <c r="AX89" s="45" t="str">
        <f t="shared" si="9"/>
        <v>#DIV/0!</v>
      </c>
      <c r="AZ89" s="45">
        <f t="shared" si="10"/>
        <v>0</v>
      </c>
      <c r="BA89" s="45">
        <f t="shared" si="11"/>
        <v>0</v>
      </c>
      <c r="BB89" s="45" t="str">
        <f t="shared" si="12"/>
        <v>#DIV/0!</v>
      </c>
      <c r="BD89" s="45">
        <f t="shared" si="13"/>
        <v>0</v>
      </c>
      <c r="BE89" s="45">
        <f t="shared" si="14"/>
        <v>0</v>
      </c>
      <c r="BF89" s="45" t="str">
        <f t="shared" si="15"/>
        <v>#DIV/0!</v>
      </c>
      <c r="BH89" s="45">
        <f t="shared" si="16"/>
        <v>0</v>
      </c>
      <c r="BI89" s="45">
        <f t="shared" si="17"/>
        <v>0</v>
      </c>
      <c r="BJ89" s="45" t="str">
        <f t="shared" si="18"/>
        <v>#DIV/0!</v>
      </c>
    </row>
    <row r="90" ht="15.75" customHeight="1">
      <c r="A90" s="52">
        <v>79.0</v>
      </c>
      <c r="B90" s="45"/>
      <c r="C90" s="45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52">
        <f t="shared" si="1"/>
        <v>0</v>
      </c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52">
        <f t="shared" si="2"/>
        <v>0</v>
      </c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52">
        <f t="shared" si="3"/>
        <v>0</v>
      </c>
      <c r="AR90" s="45">
        <f t="shared" si="4"/>
        <v>0</v>
      </c>
      <c r="AS90" s="45">
        <f t="shared" si="5"/>
        <v>0</v>
      </c>
      <c r="AT90" s="45" t="str">
        <f t="shared" si="6"/>
        <v>#DIV/0!</v>
      </c>
      <c r="AV90" s="45">
        <f t="shared" si="7"/>
        <v>0</v>
      </c>
      <c r="AW90" s="45">
        <f t="shared" si="8"/>
        <v>0</v>
      </c>
      <c r="AX90" s="45" t="str">
        <f t="shared" si="9"/>
        <v>#DIV/0!</v>
      </c>
      <c r="AZ90" s="45">
        <f t="shared" si="10"/>
        <v>0</v>
      </c>
      <c r="BA90" s="45">
        <f t="shared" si="11"/>
        <v>0</v>
      </c>
      <c r="BB90" s="45" t="str">
        <f t="shared" si="12"/>
        <v>#DIV/0!</v>
      </c>
      <c r="BD90" s="45">
        <f t="shared" si="13"/>
        <v>0</v>
      </c>
      <c r="BE90" s="45">
        <f t="shared" si="14"/>
        <v>0</v>
      </c>
      <c r="BF90" s="45" t="str">
        <f t="shared" si="15"/>
        <v>#DIV/0!</v>
      </c>
      <c r="BH90" s="45">
        <f t="shared" si="16"/>
        <v>0</v>
      </c>
      <c r="BI90" s="45">
        <f t="shared" si="17"/>
        <v>0</v>
      </c>
      <c r="BJ90" s="45" t="str">
        <f t="shared" si="18"/>
        <v>#DIV/0!</v>
      </c>
    </row>
    <row r="91" ht="15.75" customHeight="1">
      <c r="A91" s="52">
        <v>80.0</v>
      </c>
      <c r="B91" s="45"/>
      <c r="C91" s="45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52">
        <f t="shared" si="1"/>
        <v>0</v>
      </c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52">
        <f t="shared" si="2"/>
        <v>0</v>
      </c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52">
        <f t="shared" si="3"/>
        <v>0</v>
      </c>
      <c r="AR91" s="45">
        <f t="shared" si="4"/>
        <v>0</v>
      </c>
      <c r="AS91" s="45">
        <f t="shared" si="5"/>
        <v>0</v>
      </c>
      <c r="AT91" s="45" t="str">
        <f t="shared" si="6"/>
        <v>#DIV/0!</v>
      </c>
      <c r="AV91" s="45">
        <f t="shared" si="7"/>
        <v>0</v>
      </c>
      <c r="AW91" s="45">
        <f t="shared" si="8"/>
        <v>0</v>
      </c>
      <c r="AX91" s="45" t="str">
        <f t="shared" si="9"/>
        <v>#DIV/0!</v>
      </c>
      <c r="AZ91" s="45">
        <f t="shared" si="10"/>
        <v>0</v>
      </c>
      <c r="BA91" s="45">
        <f t="shared" si="11"/>
        <v>0</v>
      </c>
      <c r="BB91" s="45" t="str">
        <f t="shared" si="12"/>
        <v>#DIV/0!</v>
      </c>
      <c r="BD91" s="45">
        <f t="shared" si="13"/>
        <v>0</v>
      </c>
      <c r="BE91" s="45">
        <f t="shared" si="14"/>
        <v>0</v>
      </c>
      <c r="BF91" s="45" t="str">
        <f t="shared" si="15"/>
        <v>#DIV/0!</v>
      </c>
      <c r="BH91" s="45">
        <f t="shared" si="16"/>
        <v>0</v>
      </c>
      <c r="BI91" s="45">
        <f t="shared" si="17"/>
        <v>0</v>
      </c>
      <c r="BJ91" s="45" t="str">
        <f t="shared" si="18"/>
        <v>#DIV/0!</v>
      </c>
    </row>
    <row r="92" ht="15.75" customHeight="1">
      <c r="A92" s="52">
        <v>81.0</v>
      </c>
      <c r="B92" s="45"/>
      <c r="C92" s="45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52">
        <f t="shared" si="1"/>
        <v>0</v>
      </c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52">
        <f t="shared" si="2"/>
        <v>0</v>
      </c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52">
        <f t="shared" si="3"/>
        <v>0</v>
      </c>
      <c r="AR92" s="45">
        <f t="shared" si="4"/>
        <v>0</v>
      </c>
      <c r="AS92" s="45">
        <f t="shared" si="5"/>
        <v>0</v>
      </c>
      <c r="AT92" s="45" t="str">
        <f t="shared" si="6"/>
        <v>#DIV/0!</v>
      </c>
      <c r="AV92" s="45">
        <f t="shared" si="7"/>
        <v>0</v>
      </c>
      <c r="AW92" s="45">
        <f t="shared" si="8"/>
        <v>0</v>
      </c>
      <c r="AX92" s="45" t="str">
        <f t="shared" si="9"/>
        <v>#DIV/0!</v>
      </c>
      <c r="AZ92" s="45">
        <f t="shared" si="10"/>
        <v>0</v>
      </c>
      <c r="BA92" s="45">
        <f t="shared" si="11"/>
        <v>0</v>
      </c>
      <c r="BB92" s="45" t="str">
        <f t="shared" si="12"/>
        <v>#DIV/0!</v>
      </c>
      <c r="BD92" s="45">
        <f t="shared" si="13"/>
        <v>0</v>
      </c>
      <c r="BE92" s="45">
        <f t="shared" si="14"/>
        <v>0</v>
      </c>
      <c r="BF92" s="45" t="str">
        <f t="shared" si="15"/>
        <v>#DIV/0!</v>
      </c>
      <c r="BH92" s="45">
        <f t="shared" si="16"/>
        <v>0</v>
      </c>
      <c r="BI92" s="45">
        <f t="shared" si="17"/>
        <v>0</v>
      </c>
      <c r="BJ92" s="45" t="str">
        <f t="shared" si="18"/>
        <v>#DIV/0!</v>
      </c>
    </row>
    <row r="93" ht="15.75" customHeight="1">
      <c r="A93" s="52">
        <v>82.0</v>
      </c>
      <c r="B93" s="45"/>
      <c r="C93" s="45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52">
        <f t="shared" si="1"/>
        <v>0</v>
      </c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52">
        <f t="shared" si="2"/>
        <v>0</v>
      </c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  <c r="AP93" s="52">
        <f t="shared" si="3"/>
        <v>0</v>
      </c>
      <c r="AR93" s="45">
        <f t="shared" si="4"/>
        <v>0</v>
      </c>
      <c r="AS93" s="45">
        <f t="shared" si="5"/>
        <v>0</v>
      </c>
      <c r="AT93" s="45" t="str">
        <f t="shared" si="6"/>
        <v>#DIV/0!</v>
      </c>
      <c r="AV93" s="45">
        <f t="shared" si="7"/>
        <v>0</v>
      </c>
      <c r="AW93" s="45">
        <f t="shared" si="8"/>
        <v>0</v>
      </c>
      <c r="AX93" s="45" t="str">
        <f t="shared" si="9"/>
        <v>#DIV/0!</v>
      </c>
      <c r="AZ93" s="45">
        <f t="shared" si="10"/>
        <v>0</v>
      </c>
      <c r="BA93" s="45">
        <f t="shared" si="11"/>
        <v>0</v>
      </c>
      <c r="BB93" s="45" t="str">
        <f t="shared" si="12"/>
        <v>#DIV/0!</v>
      </c>
      <c r="BD93" s="45">
        <f t="shared" si="13"/>
        <v>0</v>
      </c>
      <c r="BE93" s="45">
        <f t="shared" si="14"/>
        <v>0</v>
      </c>
      <c r="BF93" s="45" t="str">
        <f t="shared" si="15"/>
        <v>#DIV/0!</v>
      </c>
      <c r="BH93" s="45">
        <f t="shared" si="16"/>
        <v>0</v>
      </c>
      <c r="BI93" s="45">
        <f t="shared" si="17"/>
        <v>0</v>
      </c>
      <c r="BJ93" s="45" t="str">
        <f t="shared" si="18"/>
        <v>#DIV/0!</v>
      </c>
    </row>
    <row r="94" ht="15.75" customHeight="1">
      <c r="A94" s="52">
        <v>83.0</v>
      </c>
      <c r="B94" s="45"/>
      <c r="C94" s="45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52">
        <f t="shared" si="1"/>
        <v>0</v>
      </c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52">
        <f t="shared" si="2"/>
        <v>0</v>
      </c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  <c r="AO94" s="109"/>
      <c r="AP94" s="52">
        <f t="shared" si="3"/>
        <v>0</v>
      </c>
      <c r="AR94" s="45">
        <f t="shared" si="4"/>
        <v>0</v>
      </c>
      <c r="AS94" s="45">
        <f t="shared" si="5"/>
        <v>0</v>
      </c>
      <c r="AT94" s="45" t="str">
        <f t="shared" si="6"/>
        <v>#DIV/0!</v>
      </c>
      <c r="AV94" s="45">
        <f t="shared" si="7"/>
        <v>0</v>
      </c>
      <c r="AW94" s="45">
        <f t="shared" si="8"/>
        <v>0</v>
      </c>
      <c r="AX94" s="45" t="str">
        <f t="shared" si="9"/>
        <v>#DIV/0!</v>
      </c>
      <c r="AZ94" s="45">
        <f t="shared" si="10"/>
        <v>0</v>
      </c>
      <c r="BA94" s="45">
        <f t="shared" si="11"/>
        <v>0</v>
      </c>
      <c r="BB94" s="45" t="str">
        <f t="shared" si="12"/>
        <v>#DIV/0!</v>
      </c>
      <c r="BD94" s="45">
        <f t="shared" si="13"/>
        <v>0</v>
      </c>
      <c r="BE94" s="45">
        <f t="shared" si="14"/>
        <v>0</v>
      </c>
      <c r="BF94" s="45" t="str">
        <f t="shared" si="15"/>
        <v>#DIV/0!</v>
      </c>
      <c r="BH94" s="45">
        <f t="shared" si="16"/>
        <v>0</v>
      </c>
      <c r="BI94" s="45">
        <f t="shared" si="17"/>
        <v>0</v>
      </c>
      <c r="BJ94" s="45" t="str">
        <f t="shared" si="18"/>
        <v>#DIV/0!</v>
      </c>
    </row>
    <row r="95" ht="15.75" customHeight="1">
      <c r="A95" s="52">
        <v>84.0</v>
      </c>
      <c r="B95" s="45"/>
      <c r="C95" s="45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52">
        <f t="shared" si="1"/>
        <v>0</v>
      </c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52">
        <f t="shared" si="2"/>
        <v>0</v>
      </c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52">
        <f t="shared" si="3"/>
        <v>0</v>
      </c>
      <c r="AR95" s="45">
        <f t="shared" si="4"/>
        <v>0</v>
      </c>
      <c r="AS95" s="45">
        <f t="shared" si="5"/>
        <v>0</v>
      </c>
      <c r="AT95" s="45" t="str">
        <f t="shared" si="6"/>
        <v>#DIV/0!</v>
      </c>
      <c r="AV95" s="45">
        <f t="shared" si="7"/>
        <v>0</v>
      </c>
      <c r="AW95" s="45">
        <f t="shared" si="8"/>
        <v>0</v>
      </c>
      <c r="AX95" s="45" t="str">
        <f t="shared" si="9"/>
        <v>#DIV/0!</v>
      </c>
      <c r="AZ95" s="45">
        <f t="shared" si="10"/>
        <v>0</v>
      </c>
      <c r="BA95" s="45">
        <f t="shared" si="11"/>
        <v>0</v>
      </c>
      <c r="BB95" s="45" t="str">
        <f t="shared" si="12"/>
        <v>#DIV/0!</v>
      </c>
      <c r="BD95" s="45">
        <f t="shared" si="13"/>
        <v>0</v>
      </c>
      <c r="BE95" s="45">
        <f t="shared" si="14"/>
        <v>0</v>
      </c>
      <c r="BF95" s="45" t="str">
        <f t="shared" si="15"/>
        <v>#DIV/0!</v>
      </c>
      <c r="BH95" s="45">
        <f t="shared" si="16"/>
        <v>0</v>
      </c>
      <c r="BI95" s="45">
        <f t="shared" si="17"/>
        <v>0</v>
      </c>
      <c r="BJ95" s="45" t="str">
        <f t="shared" si="18"/>
        <v>#DIV/0!</v>
      </c>
    </row>
    <row r="96" ht="15.75" customHeight="1">
      <c r="A96" s="52">
        <v>85.0</v>
      </c>
      <c r="B96" s="45"/>
      <c r="C96" s="45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52">
        <f t="shared" si="1"/>
        <v>0</v>
      </c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52">
        <f t="shared" si="2"/>
        <v>0</v>
      </c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  <c r="AP96" s="52">
        <f t="shared" si="3"/>
        <v>0</v>
      </c>
      <c r="AR96" s="45">
        <f t="shared" si="4"/>
        <v>0</v>
      </c>
      <c r="AS96" s="45">
        <f t="shared" si="5"/>
        <v>0</v>
      </c>
      <c r="AT96" s="45" t="str">
        <f t="shared" si="6"/>
        <v>#DIV/0!</v>
      </c>
      <c r="AV96" s="45">
        <f t="shared" si="7"/>
        <v>0</v>
      </c>
      <c r="AW96" s="45">
        <f t="shared" si="8"/>
        <v>0</v>
      </c>
      <c r="AX96" s="45" t="str">
        <f t="shared" si="9"/>
        <v>#DIV/0!</v>
      </c>
      <c r="AZ96" s="45">
        <f t="shared" si="10"/>
        <v>0</v>
      </c>
      <c r="BA96" s="45">
        <f t="shared" si="11"/>
        <v>0</v>
      </c>
      <c r="BB96" s="45" t="str">
        <f t="shared" si="12"/>
        <v>#DIV/0!</v>
      </c>
      <c r="BD96" s="45">
        <f t="shared" si="13"/>
        <v>0</v>
      </c>
      <c r="BE96" s="45">
        <f t="shared" si="14"/>
        <v>0</v>
      </c>
      <c r="BF96" s="45" t="str">
        <f t="shared" si="15"/>
        <v>#DIV/0!</v>
      </c>
      <c r="BH96" s="45">
        <f t="shared" si="16"/>
        <v>0</v>
      </c>
      <c r="BI96" s="45">
        <f t="shared" si="17"/>
        <v>0</v>
      </c>
      <c r="BJ96" s="45" t="str">
        <f t="shared" si="18"/>
        <v>#DIV/0!</v>
      </c>
    </row>
    <row r="97" ht="15.75" customHeight="1">
      <c r="A97" s="52">
        <v>86.0</v>
      </c>
      <c r="B97" s="45"/>
      <c r="C97" s="45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52">
        <f t="shared" si="1"/>
        <v>0</v>
      </c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52">
        <f t="shared" si="2"/>
        <v>0</v>
      </c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52">
        <f t="shared" si="3"/>
        <v>0</v>
      </c>
      <c r="AR97" s="45">
        <f t="shared" si="4"/>
        <v>0</v>
      </c>
      <c r="AS97" s="45">
        <f t="shared" si="5"/>
        <v>0</v>
      </c>
      <c r="AT97" s="45" t="str">
        <f t="shared" si="6"/>
        <v>#DIV/0!</v>
      </c>
      <c r="AV97" s="45">
        <f t="shared" si="7"/>
        <v>0</v>
      </c>
      <c r="AW97" s="45">
        <f t="shared" si="8"/>
        <v>0</v>
      </c>
      <c r="AX97" s="45" t="str">
        <f t="shared" si="9"/>
        <v>#DIV/0!</v>
      </c>
      <c r="AZ97" s="45">
        <f t="shared" si="10"/>
        <v>0</v>
      </c>
      <c r="BA97" s="45">
        <f t="shared" si="11"/>
        <v>0</v>
      </c>
      <c r="BB97" s="45" t="str">
        <f t="shared" si="12"/>
        <v>#DIV/0!</v>
      </c>
      <c r="BD97" s="45">
        <f t="shared" si="13"/>
        <v>0</v>
      </c>
      <c r="BE97" s="45">
        <f t="shared" si="14"/>
        <v>0</v>
      </c>
      <c r="BF97" s="45" t="str">
        <f t="shared" si="15"/>
        <v>#DIV/0!</v>
      </c>
      <c r="BH97" s="45">
        <f t="shared" si="16"/>
        <v>0</v>
      </c>
      <c r="BI97" s="45">
        <f t="shared" si="17"/>
        <v>0</v>
      </c>
      <c r="BJ97" s="45" t="str">
        <f t="shared" si="18"/>
        <v>#DIV/0!</v>
      </c>
    </row>
    <row r="98" ht="15.75" customHeight="1">
      <c r="A98" s="52">
        <v>87.0</v>
      </c>
      <c r="B98" s="45"/>
      <c r="C98" s="45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52">
        <f t="shared" si="1"/>
        <v>0</v>
      </c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52">
        <f t="shared" si="2"/>
        <v>0</v>
      </c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52">
        <f t="shared" si="3"/>
        <v>0</v>
      </c>
      <c r="AR98" s="45">
        <f t="shared" si="4"/>
        <v>0</v>
      </c>
      <c r="AS98" s="45">
        <f t="shared" si="5"/>
        <v>0</v>
      </c>
      <c r="AT98" s="45" t="str">
        <f t="shared" si="6"/>
        <v>#DIV/0!</v>
      </c>
      <c r="AV98" s="45">
        <f t="shared" si="7"/>
        <v>0</v>
      </c>
      <c r="AW98" s="45">
        <f t="shared" si="8"/>
        <v>0</v>
      </c>
      <c r="AX98" s="45" t="str">
        <f t="shared" si="9"/>
        <v>#DIV/0!</v>
      </c>
      <c r="AZ98" s="45">
        <f t="shared" si="10"/>
        <v>0</v>
      </c>
      <c r="BA98" s="45">
        <f t="shared" si="11"/>
        <v>0</v>
      </c>
      <c r="BB98" s="45" t="str">
        <f t="shared" si="12"/>
        <v>#DIV/0!</v>
      </c>
      <c r="BD98" s="45">
        <f t="shared" si="13"/>
        <v>0</v>
      </c>
      <c r="BE98" s="45">
        <f t="shared" si="14"/>
        <v>0</v>
      </c>
      <c r="BF98" s="45" t="str">
        <f t="shared" si="15"/>
        <v>#DIV/0!</v>
      </c>
      <c r="BH98" s="45">
        <f t="shared" si="16"/>
        <v>0</v>
      </c>
      <c r="BI98" s="45">
        <f t="shared" si="17"/>
        <v>0</v>
      </c>
      <c r="BJ98" s="45" t="str">
        <f t="shared" si="18"/>
        <v>#DIV/0!</v>
      </c>
    </row>
    <row r="99" ht="15.75" customHeight="1">
      <c r="A99" s="52">
        <v>88.0</v>
      </c>
      <c r="B99" s="45"/>
      <c r="C99" s="45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52">
        <f t="shared" si="1"/>
        <v>0</v>
      </c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52">
        <f t="shared" si="2"/>
        <v>0</v>
      </c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  <c r="AO99" s="109"/>
      <c r="AP99" s="52">
        <f t="shared" si="3"/>
        <v>0</v>
      </c>
      <c r="AR99" s="45">
        <f t="shared" si="4"/>
        <v>0</v>
      </c>
      <c r="AS99" s="45">
        <f t="shared" si="5"/>
        <v>0</v>
      </c>
      <c r="AT99" s="45" t="str">
        <f t="shared" si="6"/>
        <v>#DIV/0!</v>
      </c>
      <c r="AV99" s="45">
        <f t="shared" si="7"/>
        <v>0</v>
      </c>
      <c r="AW99" s="45">
        <f t="shared" si="8"/>
        <v>0</v>
      </c>
      <c r="AX99" s="45" t="str">
        <f t="shared" si="9"/>
        <v>#DIV/0!</v>
      </c>
      <c r="AZ99" s="45">
        <f t="shared" si="10"/>
        <v>0</v>
      </c>
      <c r="BA99" s="45">
        <f t="shared" si="11"/>
        <v>0</v>
      </c>
      <c r="BB99" s="45" t="str">
        <f t="shared" si="12"/>
        <v>#DIV/0!</v>
      </c>
      <c r="BD99" s="45">
        <f t="shared" si="13"/>
        <v>0</v>
      </c>
      <c r="BE99" s="45">
        <f t="shared" si="14"/>
        <v>0</v>
      </c>
      <c r="BF99" s="45" t="str">
        <f t="shared" si="15"/>
        <v>#DIV/0!</v>
      </c>
      <c r="BH99" s="45">
        <f t="shared" si="16"/>
        <v>0</v>
      </c>
      <c r="BI99" s="45">
        <f t="shared" si="17"/>
        <v>0</v>
      </c>
      <c r="BJ99" s="45" t="str">
        <f t="shared" si="18"/>
        <v>#DIV/0!</v>
      </c>
    </row>
    <row r="100" ht="15.75" customHeight="1">
      <c r="A100" s="52">
        <v>89.0</v>
      </c>
      <c r="B100" s="45"/>
      <c r="C100" s="45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52">
        <f t="shared" si="1"/>
        <v>0</v>
      </c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52">
        <f t="shared" si="2"/>
        <v>0</v>
      </c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52">
        <f t="shared" si="3"/>
        <v>0</v>
      </c>
      <c r="AR100" s="45">
        <f t="shared" si="4"/>
        <v>0</v>
      </c>
      <c r="AS100" s="45">
        <f t="shared" si="5"/>
        <v>0</v>
      </c>
      <c r="AT100" s="45" t="str">
        <f t="shared" si="6"/>
        <v>#DIV/0!</v>
      </c>
      <c r="AV100" s="45">
        <f t="shared" si="7"/>
        <v>0</v>
      </c>
      <c r="AW100" s="45">
        <f t="shared" si="8"/>
        <v>0</v>
      </c>
      <c r="AX100" s="45" t="str">
        <f t="shared" si="9"/>
        <v>#DIV/0!</v>
      </c>
      <c r="AZ100" s="45">
        <f t="shared" si="10"/>
        <v>0</v>
      </c>
      <c r="BA100" s="45">
        <f t="shared" si="11"/>
        <v>0</v>
      </c>
      <c r="BB100" s="45" t="str">
        <f t="shared" si="12"/>
        <v>#DIV/0!</v>
      </c>
      <c r="BD100" s="45">
        <f t="shared" si="13"/>
        <v>0</v>
      </c>
      <c r="BE100" s="45">
        <f t="shared" si="14"/>
        <v>0</v>
      </c>
      <c r="BF100" s="45" t="str">
        <f t="shared" si="15"/>
        <v>#DIV/0!</v>
      </c>
      <c r="BH100" s="45">
        <f t="shared" si="16"/>
        <v>0</v>
      </c>
      <c r="BI100" s="45">
        <f t="shared" si="17"/>
        <v>0</v>
      </c>
      <c r="BJ100" s="45" t="str">
        <f t="shared" si="18"/>
        <v>#DIV/0!</v>
      </c>
    </row>
    <row r="101" ht="15.75" customHeight="1">
      <c r="A101" s="52">
        <v>90.0</v>
      </c>
      <c r="B101" s="45"/>
      <c r="C101" s="45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52">
        <f t="shared" si="1"/>
        <v>0</v>
      </c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52">
        <f t="shared" si="2"/>
        <v>0</v>
      </c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  <c r="AO101" s="109"/>
      <c r="AP101" s="52">
        <f t="shared" si="3"/>
        <v>0</v>
      </c>
      <c r="AR101" s="45">
        <f t="shared" si="4"/>
        <v>0</v>
      </c>
      <c r="AS101" s="45">
        <f t="shared" si="5"/>
        <v>0</v>
      </c>
      <c r="AT101" s="45" t="str">
        <f t="shared" si="6"/>
        <v>#DIV/0!</v>
      </c>
      <c r="AV101" s="45">
        <f t="shared" si="7"/>
        <v>0</v>
      </c>
      <c r="AW101" s="45">
        <f t="shared" si="8"/>
        <v>0</v>
      </c>
      <c r="AX101" s="45" t="str">
        <f t="shared" si="9"/>
        <v>#DIV/0!</v>
      </c>
      <c r="AZ101" s="45">
        <f t="shared" si="10"/>
        <v>0</v>
      </c>
      <c r="BA101" s="45">
        <f t="shared" si="11"/>
        <v>0</v>
      </c>
      <c r="BB101" s="45" t="str">
        <f t="shared" si="12"/>
        <v>#DIV/0!</v>
      </c>
      <c r="BD101" s="45">
        <f t="shared" si="13"/>
        <v>0</v>
      </c>
      <c r="BE101" s="45">
        <f t="shared" si="14"/>
        <v>0</v>
      </c>
      <c r="BF101" s="45" t="str">
        <f t="shared" si="15"/>
        <v>#DIV/0!</v>
      </c>
      <c r="BH101" s="45">
        <f t="shared" si="16"/>
        <v>0</v>
      </c>
      <c r="BI101" s="45">
        <f t="shared" si="17"/>
        <v>0</v>
      </c>
      <c r="BJ101" s="45" t="str">
        <f t="shared" si="18"/>
        <v>#DIV/0!</v>
      </c>
    </row>
    <row r="102" ht="15.75" customHeight="1">
      <c r="A102" s="52">
        <v>91.0</v>
      </c>
      <c r="B102" s="45"/>
      <c r="C102" s="45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52">
        <f t="shared" si="1"/>
        <v>0</v>
      </c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52">
        <f t="shared" si="2"/>
        <v>0</v>
      </c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52">
        <f t="shared" si="3"/>
        <v>0</v>
      </c>
      <c r="AR102" s="45">
        <f t="shared" si="4"/>
        <v>0</v>
      </c>
      <c r="AS102" s="45">
        <f t="shared" si="5"/>
        <v>0</v>
      </c>
      <c r="AT102" s="45" t="str">
        <f t="shared" si="6"/>
        <v>#DIV/0!</v>
      </c>
      <c r="AV102" s="45">
        <f t="shared" si="7"/>
        <v>0</v>
      </c>
      <c r="AW102" s="45">
        <f t="shared" si="8"/>
        <v>0</v>
      </c>
      <c r="AX102" s="45" t="str">
        <f t="shared" si="9"/>
        <v>#DIV/0!</v>
      </c>
      <c r="AZ102" s="45">
        <f t="shared" si="10"/>
        <v>0</v>
      </c>
      <c r="BA102" s="45">
        <f t="shared" si="11"/>
        <v>0</v>
      </c>
      <c r="BB102" s="45" t="str">
        <f t="shared" si="12"/>
        <v>#DIV/0!</v>
      </c>
      <c r="BD102" s="45">
        <f t="shared" si="13"/>
        <v>0</v>
      </c>
      <c r="BE102" s="45">
        <f t="shared" si="14"/>
        <v>0</v>
      </c>
      <c r="BF102" s="45" t="str">
        <f t="shared" si="15"/>
        <v>#DIV/0!</v>
      </c>
      <c r="BH102" s="45">
        <f t="shared" si="16"/>
        <v>0</v>
      </c>
      <c r="BI102" s="45">
        <f t="shared" si="17"/>
        <v>0</v>
      </c>
      <c r="BJ102" s="45" t="str">
        <f t="shared" si="18"/>
        <v>#DIV/0!</v>
      </c>
    </row>
    <row r="103" ht="15.75" customHeight="1">
      <c r="A103" s="52">
        <v>92.0</v>
      </c>
      <c r="B103" s="45"/>
      <c r="C103" s="45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52">
        <f t="shared" si="1"/>
        <v>0</v>
      </c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52">
        <f t="shared" si="2"/>
        <v>0</v>
      </c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  <c r="AO103" s="109"/>
      <c r="AP103" s="52">
        <f t="shared" si="3"/>
        <v>0</v>
      </c>
      <c r="AR103" s="45">
        <f t="shared" si="4"/>
        <v>0</v>
      </c>
      <c r="AS103" s="45">
        <f t="shared" si="5"/>
        <v>0</v>
      </c>
      <c r="AT103" s="45" t="str">
        <f t="shared" si="6"/>
        <v>#DIV/0!</v>
      </c>
      <c r="AV103" s="45">
        <f t="shared" si="7"/>
        <v>0</v>
      </c>
      <c r="AW103" s="45">
        <f t="shared" si="8"/>
        <v>0</v>
      </c>
      <c r="AX103" s="45" t="str">
        <f t="shared" si="9"/>
        <v>#DIV/0!</v>
      </c>
      <c r="AZ103" s="45">
        <f t="shared" si="10"/>
        <v>0</v>
      </c>
      <c r="BA103" s="45">
        <f t="shared" si="11"/>
        <v>0</v>
      </c>
      <c r="BB103" s="45" t="str">
        <f t="shared" si="12"/>
        <v>#DIV/0!</v>
      </c>
      <c r="BD103" s="45">
        <f t="shared" si="13"/>
        <v>0</v>
      </c>
      <c r="BE103" s="45">
        <f t="shared" si="14"/>
        <v>0</v>
      </c>
      <c r="BF103" s="45" t="str">
        <f t="shared" si="15"/>
        <v>#DIV/0!</v>
      </c>
      <c r="BH103" s="45">
        <f t="shared" si="16"/>
        <v>0</v>
      </c>
      <c r="BI103" s="45">
        <f t="shared" si="17"/>
        <v>0</v>
      </c>
      <c r="BJ103" s="45" t="str">
        <f t="shared" si="18"/>
        <v>#DIV/0!</v>
      </c>
    </row>
    <row r="104" ht="15.75" customHeight="1">
      <c r="A104" s="52">
        <v>93.0</v>
      </c>
      <c r="B104" s="45"/>
      <c r="C104" s="45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52">
        <f t="shared" si="1"/>
        <v>0</v>
      </c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52">
        <f t="shared" si="2"/>
        <v>0</v>
      </c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  <c r="AO104" s="109"/>
      <c r="AP104" s="52">
        <f t="shared" si="3"/>
        <v>0</v>
      </c>
      <c r="AR104" s="45">
        <f t="shared" si="4"/>
        <v>0</v>
      </c>
      <c r="AS104" s="45">
        <f t="shared" si="5"/>
        <v>0</v>
      </c>
      <c r="AT104" s="45" t="str">
        <f t="shared" si="6"/>
        <v>#DIV/0!</v>
      </c>
      <c r="AV104" s="45">
        <f t="shared" si="7"/>
        <v>0</v>
      </c>
      <c r="AW104" s="45">
        <f t="shared" si="8"/>
        <v>0</v>
      </c>
      <c r="AX104" s="45" t="str">
        <f t="shared" si="9"/>
        <v>#DIV/0!</v>
      </c>
      <c r="AZ104" s="45">
        <f t="shared" si="10"/>
        <v>0</v>
      </c>
      <c r="BA104" s="45">
        <f t="shared" si="11"/>
        <v>0</v>
      </c>
      <c r="BB104" s="45" t="str">
        <f t="shared" si="12"/>
        <v>#DIV/0!</v>
      </c>
      <c r="BD104" s="45">
        <f t="shared" si="13"/>
        <v>0</v>
      </c>
      <c r="BE104" s="45">
        <f t="shared" si="14"/>
        <v>0</v>
      </c>
      <c r="BF104" s="45" t="str">
        <f t="shared" si="15"/>
        <v>#DIV/0!</v>
      </c>
      <c r="BH104" s="45">
        <f t="shared" si="16"/>
        <v>0</v>
      </c>
      <c r="BI104" s="45">
        <f t="shared" si="17"/>
        <v>0</v>
      </c>
      <c r="BJ104" s="45" t="str">
        <f t="shared" si="18"/>
        <v>#DIV/0!</v>
      </c>
    </row>
    <row r="105" ht="15.75" customHeight="1">
      <c r="A105" s="52">
        <v>94.0</v>
      </c>
      <c r="B105" s="45"/>
      <c r="C105" s="45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52">
        <f t="shared" si="1"/>
        <v>0</v>
      </c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52">
        <f t="shared" si="2"/>
        <v>0</v>
      </c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  <c r="AO105" s="109"/>
      <c r="AP105" s="52">
        <f t="shared" si="3"/>
        <v>0</v>
      </c>
      <c r="AR105" s="45">
        <f t="shared" si="4"/>
        <v>0</v>
      </c>
      <c r="AS105" s="45">
        <f t="shared" si="5"/>
        <v>0</v>
      </c>
      <c r="AT105" s="45" t="str">
        <f t="shared" si="6"/>
        <v>#DIV/0!</v>
      </c>
      <c r="AV105" s="45">
        <f t="shared" si="7"/>
        <v>0</v>
      </c>
      <c r="AW105" s="45">
        <f t="shared" si="8"/>
        <v>0</v>
      </c>
      <c r="AX105" s="45" t="str">
        <f t="shared" si="9"/>
        <v>#DIV/0!</v>
      </c>
      <c r="AZ105" s="45">
        <f t="shared" si="10"/>
        <v>0</v>
      </c>
      <c r="BA105" s="45">
        <f t="shared" si="11"/>
        <v>0</v>
      </c>
      <c r="BB105" s="45" t="str">
        <f t="shared" si="12"/>
        <v>#DIV/0!</v>
      </c>
      <c r="BD105" s="45">
        <f t="shared" si="13"/>
        <v>0</v>
      </c>
      <c r="BE105" s="45">
        <f t="shared" si="14"/>
        <v>0</v>
      </c>
      <c r="BF105" s="45" t="str">
        <f t="shared" si="15"/>
        <v>#DIV/0!</v>
      </c>
      <c r="BH105" s="45">
        <f t="shared" si="16"/>
        <v>0</v>
      </c>
      <c r="BI105" s="45">
        <f t="shared" si="17"/>
        <v>0</v>
      </c>
      <c r="BJ105" s="45" t="str">
        <f t="shared" si="18"/>
        <v>#DIV/0!</v>
      </c>
    </row>
    <row r="106" ht="15.75" customHeight="1">
      <c r="A106" s="52">
        <v>95.0</v>
      </c>
      <c r="B106" s="45"/>
      <c r="C106" s="45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52">
        <f t="shared" si="1"/>
        <v>0</v>
      </c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52">
        <f t="shared" si="2"/>
        <v>0</v>
      </c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  <c r="AO106" s="109"/>
      <c r="AP106" s="52">
        <f t="shared" si="3"/>
        <v>0</v>
      </c>
      <c r="AR106" s="45">
        <f t="shared" si="4"/>
        <v>0</v>
      </c>
      <c r="AS106" s="45">
        <f t="shared" si="5"/>
        <v>0</v>
      </c>
      <c r="AT106" s="45" t="str">
        <f t="shared" si="6"/>
        <v>#DIV/0!</v>
      </c>
      <c r="AV106" s="45">
        <f t="shared" si="7"/>
        <v>0</v>
      </c>
      <c r="AW106" s="45">
        <f t="shared" si="8"/>
        <v>0</v>
      </c>
      <c r="AX106" s="45" t="str">
        <f t="shared" si="9"/>
        <v>#DIV/0!</v>
      </c>
      <c r="AZ106" s="45">
        <f t="shared" si="10"/>
        <v>0</v>
      </c>
      <c r="BA106" s="45">
        <f t="shared" si="11"/>
        <v>0</v>
      </c>
      <c r="BB106" s="45" t="str">
        <f t="shared" si="12"/>
        <v>#DIV/0!</v>
      </c>
      <c r="BD106" s="45">
        <f t="shared" si="13"/>
        <v>0</v>
      </c>
      <c r="BE106" s="45">
        <f t="shared" si="14"/>
        <v>0</v>
      </c>
      <c r="BF106" s="45" t="str">
        <f t="shared" si="15"/>
        <v>#DIV/0!</v>
      </c>
      <c r="BH106" s="45">
        <f t="shared" si="16"/>
        <v>0</v>
      </c>
      <c r="BI106" s="45">
        <f t="shared" si="17"/>
        <v>0</v>
      </c>
      <c r="BJ106" s="45" t="str">
        <f t="shared" si="18"/>
        <v>#DIV/0!</v>
      </c>
    </row>
    <row r="107" ht="15.75" customHeight="1">
      <c r="A107" s="52">
        <v>96.0</v>
      </c>
      <c r="B107" s="45"/>
      <c r="C107" s="45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52">
        <f t="shared" si="1"/>
        <v>0</v>
      </c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52">
        <f t="shared" si="2"/>
        <v>0</v>
      </c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109"/>
      <c r="AN107" s="109"/>
      <c r="AO107" s="109"/>
      <c r="AP107" s="52">
        <f t="shared" si="3"/>
        <v>0</v>
      </c>
      <c r="AR107" s="45">
        <f t="shared" si="4"/>
        <v>0</v>
      </c>
      <c r="AS107" s="45">
        <f t="shared" si="5"/>
        <v>0</v>
      </c>
      <c r="AT107" s="45" t="str">
        <f t="shared" si="6"/>
        <v>#DIV/0!</v>
      </c>
      <c r="AV107" s="45">
        <f t="shared" si="7"/>
        <v>0</v>
      </c>
      <c r="AW107" s="45">
        <f t="shared" si="8"/>
        <v>0</v>
      </c>
      <c r="AX107" s="45" t="str">
        <f t="shared" si="9"/>
        <v>#DIV/0!</v>
      </c>
      <c r="AZ107" s="45">
        <f t="shared" si="10"/>
        <v>0</v>
      </c>
      <c r="BA107" s="45">
        <f t="shared" si="11"/>
        <v>0</v>
      </c>
      <c r="BB107" s="45" t="str">
        <f t="shared" si="12"/>
        <v>#DIV/0!</v>
      </c>
      <c r="BD107" s="45">
        <f t="shared" si="13"/>
        <v>0</v>
      </c>
      <c r="BE107" s="45">
        <f t="shared" si="14"/>
        <v>0</v>
      </c>
      <c r="BF107" s="45" t="str">
        <f t="shared" si="15"/>
        <v>#DIV/0!</v>
      </c>
      <c r="BH107" s="45">
        <f t="shared" si="16"/>
        <v>0</v>
      </c>
      <c r="BI107" s="45">
        <f t="shared" si="17"/>
        <v>0</v>
      </c>
      <c r="BJ107" s="45" t="str">
        <f t="shared" si="18"/>
        <v>#DIV/0!</v>
      </c>
    </row>
    <row r="108" ht="15.75" customHeight="1">
      <c r="A108" s="52">
        <v>97.0</v>
      </c>
      <c r="B108" s="45"/>
      <c r="C108" s="45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52">
        <f t="shared" si="1"/>
        <v>0</v>
      </c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52">
        <f t="shared" si="2"/>
        <v>0</v>
      </c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  <c r="AO108" s="109"/>
      <c r="AP108" s="52">
        <f t="shared" si="3"/>
        <v>0</v>
      </c>
      <c r="AR108" s="45">
        <f t="shared" si="4"/>
        <v>0</v>
      </c>
      <c r="AS108" s="45">
        <f t="shared" si="5"/>
        <v>0</v>
      </c>
      <c r="AT108" s="45" t="str">
        <f t="shared" si="6"/>
        <v>#DIV/0!</v>
      </c>
      <c r="AV108" s="45">
        <f t="shared" si="7"/>
        <v>0</v>
      </c>
      <c r="AW108" s="45">
        <f t="shared" si="8"/>
        <v>0</v>
      </c>
      <c r="AX108" s="45" t="str">
        <f t="shared" si="9"/>
        <v>#DIV/0!</v>
      </c>
      <c r="AZ108" s="45">
        <f t="shared" si="10"/>
        <v>0</v>
      </c>
      <c r="BA108" s="45">
        <f t="shared" si="11"/>
        <v>0</v>
      </c>
      <c r="BB108" s="45" t="str">
        <f t="shared" si="12"/>
        <v>#DIV/0!</v>
      </c>
      <c r="BD108" s="45">
        <f t="shared" si="13"/>
        <v>0</v>
      </c>
      <c r="BE108" s="45">
        <f t="shared" si="14"/>
        <v>0</v>
      </c>
      <c r="BF108" s="45" t="str">
        <f t="shared" si="15"/>
        <v>#DIV/0!</v>
      </c>
      <c r="BH108" s="45">
        <f t="shared" si="16"/>
        <v>0</v>
      </c>
      <c r="BI108" s="45">
        <f t="shared" si="17"/>
        <v>0</v>
      </c>
      <c r="BJ108" s="45" t="str">
        <f t="shared" si="18"/>
        <v>#DIV/0!</v>
      </c>
    </row>
    <row r="109" ht="15.75" customHeight="1">
      <c r="A109" s="52">
        <v>98.0</v>
      </c>
      <c r="B109" s="45"/>
      <c r="C109" s="45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52">
        <f t="shared" si="1"/>
        <v>0</v>
      </c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52">
        <f t="shared" si="2"/>
        <v>0</v>
      </c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  <c r="AO109" s="109"/>
      <c r="AP109" s="52">
        <f t="shared" si="3"/>
        <v>0</v>
      </c>
      <c r="AR109" s="45">
        <f t="shared" si="4"/>
        <v>0</v>
      </c>
      <c r="AS109" s="45">
        <f t="shared" si="5"/>
        <v>0</v>
      </c>
      <c r="AT109" s="45" t="str">
        <f t="shared" si="6"/>
        <v>#DIV/0!</v>
      </c>
      <c r="AV109" s="45">
        <f t="shared" si="7"/>
        <v>0</v>
      </c>
      <c r="AW109" s="45">
        <f t="shared" si="8"/>
        <v>0</v>
      </c>
      <c r="AX109" s="45" t="str">
        <f t="shared" si="9"/>
        <v>#DIV/0!</v>
      </c>
      <c r="AZ109" s="45">
        <f t="shared" si="10"/>
        <v>0</v>
      </c>
      <c r="BA109" s="45">
        <f t="shared" si="11"/>
        <v>0</v>
      </c>
      <c r="BB109" s="45" t="str">
        <f t="shared" si="12"/>
        <v>#DIV/0!</v>
      </c>
      <c r="BD109" s="45">
        <f t="shared" si="13"/>
        <v>0</v>
      </c>
      <c r="BE109" s="45">
        <f t="shared" si="14"/>
        <v>0</v>
      </c>
      <c r="BF109" s="45" t="str">
        <f t="shared" si="15"/>
        <v>#DIV/0!</v>
      </c>
      <c r="BH109" s="45">
        <f t="shared" si="16"/>
        <v>0</v>
      </c>
      <c r="BI109" s="45">
        <f t="shared" si="17"/>
        <v>0</v>
      </c>
      <c r="BJ109" s="45" t="str">
        <f t="shared" si="18"/>
        <v>#DIV/0!</v>
      </c>
    </row>
    <row r="110" ht="15.75" customHeight="1">
      <c r="A110" s="52">
        <v>99.0</v>
      </c>
      <c r="B110" s="45"/>
      <c r="C110" s="45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52">
        <f t="shared" si="1"/>
        <v>0</v>
      </c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52">
        <f t="shared" si="2"/>
        <v>0</v>
      </c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52">
        <f t="shared" si="3"/>
        <v>0</v>
      </c>
      <c r="AR110" s="45">
        <f t="shared" si="4"/>
        <v>0</v>
      </c>
      <c r="AS110" s="45">
        <f t="shared" si="5"/>
        <v>0</v>
      </c>
      <c r="AT110" s="45" t="str">
        <f t="shared" si="6"/>
        <v>#DIV/0!</v>
      </c>
      <c r="AV110" s="45">
        <f t="shared" si="7"/>
        <v>0</v>
      </c>
      <c r="AW110" s="45">
        <f t="shared" si="8"/>
        <v>0</v>
      </c>
      <c r="AX110" s="45" t="str">
        <f t="shared" si="9"/>
        <v>#DIV/0!</v>
      </c>
      <c r="AZ110" s="45">
        <f t="shared" si="10"/>
        <v>0</v>
      </c>
      <c r="BA110" s="45">
        <f t="shared" si="11"/>
        <v>0</v>
      </c>
      <c r="BB110" s="45" t="str">
        <f t="shared" si="12"/>
        <v>#DIV/0!</v>
      </c>
      <c r="BD110" s="45">
        <f t="shared" si="13"/>
        <v>0</v>
      </c>
      <c r="BE110" s="45">
        <f t="shared" si="14"/>
        <v>0</v>
      </c>
      <c r="BF110" s="45" t="str">
        <f t="shared" si="15"/>
        <v>#DIV/0!</v>
      </c>
      <c r="BH110" s="45">
        <f t="shared" si="16"/>
        <v>0</v>
      </c>
      <c r="BI110" s="45">
        <f t="shared" si="17"/>
        <v>0</v>
      </c>
      <c r="BJ110" s="45" t="str">
        <f t="shared" si="18"/>
        <v>#DIV/0!</v>
      </c>
    </row>
    <row r="111" ht="15.75" customHeight="1">
      <c r="A111" s="52">
        <v>100.0</v>
      </c>
      <c r="B111" s="45"/>
      <c r="C111" s="45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52">
        <f t="shared" si="1"/>
        <v>0</v>
      </c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52">
        <f t="shared" si="2"/>
        <v>0</v>
      </c>
      <c r="AD111" s="109"/>
      <c r="AE111" s="109"/>
      <c r="AF111" s="109"/>
      <c r="AG111" s="109"/>
      <c r="AH111" s="109"/>
      <c r="AI111" s="109"/>
      <c r="AJ111" s="109"/>
      <c r="AK111" s="109"/>
      <c r="AL111" s="109"/>
      <c r="AM111" s="109"/>
      <c r="AN111" s="109"/>
      <c r="AO111" s="109"/>
      <c r="AP111" s="52">
        <f t="shared" si="3"/>
        <v>0</v>
      </c>
      <c r="AR111" s="45">
        <f t="shared" si="4"/>
        <v>0</v>
      </c>
      <c r="AS111" s="45">
        <f t="shared" si="5"/>
        <v>0</v>
      </c>
      <c r="AT111" s="45" t="str">
        <f t="shared" si="6"/>
        <v>#DIV/0!</v>
      </c>
      <c r="AV111" s="45">
        <f t="shared" si="7"/>
        <v>0</v>
      </c>
      <c r="AW111" s="45">
        <f t="shared" si="8"/>
        <v>0</v>
      </c>
      <c r="AX111" s="45" t="str">
        <f t="shared" si="9"/>
        <v>#DIV/0!</v>
      </c>
      <c r="AZ111" s="45">
        <f t="shared" si="10"/>
        <v>0</v>
      </c>
      <c r="BA111" s="45">
        <f t="shared" si="11"/>
        <v>0</v>
      </c>
      <c r="BB111" s="45" t="str">
        <f t="shared" si="12"/>
        <v>#DIV/0!</v>
      </c>
      <c r="BD111" s="45">
        <f t="shared" si="13"/>
        <v>0</v>
      </c>
      <c r="BE111" s="45">
        <f t="shared" si="14"/>
        <v>0</v>
      </c>
      <c r="BF111" s="45" t="str">
        <f t="shared" si="15"/>
        <v>#DIV/0!</v>
      </c>
      <c r="BH111" s="45">
        <f t="shared" si="16"/>
        <v>0</v>
      </c>
      <c r="BI111" s="45">
        <f t="shared" si="17"/>
        <v>0</v>
      </c>
      <c r="BJ111" s="45" t="str">
        <f t="shared" si="18"/>
        <v>#DIV/0!</v>
      </c>
    </row>
    <row r="112" ht="15.75" customHeight="1">
      <c r="A112" s="52">
        <v>101.0</v>
      </c>
      <c r="B112" s="45"/>
      <c r="C112" s="45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52">
        <f t="shared" si="1"/>
        <v>0</v>
      </c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52">
        <f t="shared" si="2"/>
        <v>0</v>
      </c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  <c r="AO112" s="109"/>
      <c r="AP112" s="52">
        <f t="shared" si="3"/>
        <v>0</v>
      </c>
      <c r="AR112" s="45">
        <f t="shared" si="4"/>
        <v>0</v>
      </c>
      <c r="AS112" s="45">
        <f t="shared" si="5"/>
        <v>0</v>
      </c>
      <c r="AT112" s="45" t="str">
        <f t="shared" si="6"/>
        <v>#DIV/0!</v>
      </c>
      <c r="AV112" s="45">
        <f t="shared" si="7"/>
        <v>0</v>
      </c>
      <c r="AW112" s="45">
        <f t="shared" si="8"/>
        <v>0</v>
      </c>
      <c r="AX112" s="45" t="str">
        <f t="shared" si="9"/>
        <v>#DIV/0!</v>
      </c>
      <c r="AZ112" s="45">
        <f t="shared" si="10"/>
        <v>0</v>
      </c>
      <c r="BA112" s="45">
        <f t="shared" si="11"/>
        <v>0</v>
      </c>
      <c r="BB112" s="45" t="str">
        <f t="shared" si="12"/>
        <v>#DIV/0!</v>
      </c>
      <c r="BD112" s="45">
        <f t="shared" si="13"/>
        <v>0</v>
      </c>
      <c r="BE112" s="45">
        <f t="shared" si="14"/>
        <v>0</v>
      </c>
      <c r="BF112" s="45" t="str">
        <f t="shared" si="15"/>
        <v>#DIV/0!</v>
      </c>
      <c r="BH112" s="45">
        <f t="shared" si="16"/>
        <v>0</v>
      </c>
      <c r="BI112" s="45">
        <f t="shared" si="17"/>
        <v>0</v>
      </c>
      <c r="BJ112" s="45" t="str">
        <f t="shared" si="18"/>
        <v>#DIV/0!</v>
      </c>
    </row>
    <row r="113" ht="15.75" customHeight="1">
      <c r="A113" s="52">
        <v>102.0</v>
      </c>
      <c r="B113" s="45"/>
      <c r="C113" s="45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52">
        <f t="shared" si="1"/>
        <v>0</v>
      </c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52">
        <f t="shared" si="2"/>
        <v>0</v>
      </c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09"/>
      <c r="AO113" s="109"/>
      <c r="AP113" s="52">
        <f t="shared" si="3"/>
        <v>0</v>
      </c>
      <c r="AR113" s="45">
        <f t="shared" si="4"/>
        <v>0</v>
      </c>
      <c r="AS113" s="45">
        <f t="shared" si="5"/>
        <v>0</v>
      </c>
      <c r="AT113" s="45" t="str">
        <f t="shared" si="6"/>
        <v>#DIV/0!</v>
      </c>
      <c r="AV113" s="45">
        <f t="shared" si="7"/>
        <v>0</v>
      </c>
      <c r="AW113" s="45">
        <f t="shared" si="8"/>
        <v>0</v>
      </c>
      <c r="AX113" s="45" t="str">
        <f t="shared" si="9"/>
        <v>#DIV/0!</v>
      </c>
      <c r="AZ113" s="45">
        <f t="shared" si="10"/>
        <v>0</v>
      </c>
      <c r="BA113" s="45">
        <f t="shared" si="11"/>
        <v>0</v>
      </c>
      <c r="BB113" s="45" t="str">
        <f t="shared" si="12"/>
        <v>#DIV/0!</v>
      </c>
      <c r="BD113" s="45">
        <f t="shared" si="13"/>
        <v>0</v>
      </c>
      <c r="BE113" s="45">
        <f t="shared" si="14"/>
        <v>0</v>
      </c>
      <c r="BF113" s="45" t="str">
        <f t="shared" si="15"/>
        <v>#DIV/0!</v>
      </c>
      <c r="BH113" s="45">
        <f t="shared" si="16"/>
        <v>0</v>
      </c>
      <c r="BI113" s="45">
        <f t="shared" si="17"/>
        <v>0</v>
      </c>
      <c r="BJ113" s="45" t="str">
        <f t="shared" si="18"/>
        <v>#DIV/0!</v>
      </c>
    </row>
    <row r="114" ht="15.75" customHeight="1">
      <c r="A114" s="52">
        <v>103.0</v>
      </c>
      <c r="B114" s="45"/>
      <c r="C114" s="45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52">
        <f t="shared" si="1"/>
        <v>0</v>
      </c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52">
        <f t="shared" si="2"/>
        <v>0</v>
      </c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109"/>
      <c r="AO114" s="109"/>
      <c r="AP114" s="52">
        <f t="shared" si="3"/>
        <v>0</v>
      </c>
      <c r="AR114" s="45">
        <f t="shared" si="4"/>
        <v>0</v>
      </c>
      <c r="AS114" s="45">
        <f t="shared" si="5"/>
        <v>0</v>
      </c>
      <c r="AT114" s="45" t="str">
        <f t="shared" si="6"/>
        <v>#DIV/0!</v>
      </c>
      <c r="AV114" s="45">
        <f t="shared" si="7"/>
        <v>0</v>
      </c>
      <c r="AW114" s="45">
        <f t="shared" si="8"/>
        <v>0</v>
      </c>
      <c r="AX114" s="45" t="str">
        <f t="shared" si="9"/>
        <v>#DIV/0!</v>
      </c>
      <c r="AZ114" s="45">
        <f t="shared" si="10"/>
        <v>0</v>
      </c>
      <c r="BA114" s="45">
        <f t="shared" si="11"/>
        <v>0</v>
      </c>
      <c r="BB114" s="45" t="str">
        <f t="shared" si="12"/>
        <v>#DIV/0!</v>
      </c>
      <c r="BD114" s="45">
        <f t="shared" si="13"/>
        <v>0</v>
      </c>
      <c r="BE114" s="45">
        <f t="shared" si="14"/>
        <v>0</v>
      </c>
      <c r="BF114" s="45" t="str">
        <f t="shared" si="15"/>
        <v>#DIV/0!</v>
      </c>
      <c r="BH114" s="45">
        <f t="shared" si="16"/>
        <v>0</v>
      </c>
      <c r="BI114" s="45">
        <f t="shared" si="17"/>
        <v>0</v>
      </c>
      <c r="BJ114" s="45" t="str">
        <f t="shared" si="18"/>
        <v>#DIV/0!</v>
      </c>
    </row>
    <row r="115" ht="15.75" customHeight="1">
      <c r="A115" s="52">
        <v>104.0</v>
      </c>
      <c r="B115" s="45"/>
      <c r="C115" s="45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52">
        <f t="shared" si="1"/>
        <v>0</v>
      </c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52">
        <f t="shared" si="2"/>
        <v>0</v>
      </c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  <c r="AN115" s="109"/>
      <c r="AO115" s="109"/>
      <c r="AP115" s="52">
        <f t="shared" si="3"/>
        <v>0</v>
      </c>
      <c r="AR115" s="45">
        <f t="shared" si="4"/>
        <v>0</v>
      </c>
      <c r="AS115" s="45">
        <f t="shared" si="5"/>
        <v>0</v>
      </c>
      <c r="AT115" s="45" t="str">
        <f t="shared" si="6"/>
        <v>#DIV/0!</v>
      </c>
      <c r="AV115" s="45">
        <f t="shared" si="7"/>
        <v>0</v>
      </c>
      <c r="AW115" s="45">
        <f t="shared" si="8"/>
        <v>0</v>
      </c>
      <c r="AX115" s="45" t="str">
        <f t="shared" si="9"/>
        <v>#DIV/0!</v>
      </c>
      <c r="AZ115" s="45">
        <f t="shared" si="10"/>
        <v>0</v>
      </c>
      <c r="BA115" s="45">
        <f t="shared" si="11"/>
        <v>0</v>
      </c>
      <c r="BB115" s="45" t="str">
        <f t="shared" si="12"/>
        <v>#DIV/0!</v>
      </c>
      <c r="BD115" s="45">
        <f t="shared" si="13"/>
        <v>0</v>
      </c>
      <c r="BE115" s="45">
        <f t="shared" si="14"/>
        <v>0</v>
      </c>
      <c r="BF115" s="45" t="str">
        <f t="shared" si="15"/>
        <v>#DIV/0!</v>
      </c>
      <c r="BH115" s="45">
        <f t="shared" si="16"/>
        <v>0</v>
      </c>
      <c r="BI115" s="45">
        <f t="shared" si="17"/>
        <v>0</v>
      </c>
      <c r="BJ115" s="45" t="str">
        <f t="shared" si="18"/>
        <v>#DIV/0!</v>
      </c>
    </row>
    <row r="116" ht="15.75" customHeight="1">
      <c r="A116" s="52">
        <v>105.0</v>
      </c>
      <c r="B116" s="45"/>
      <c r="C116" s="45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52">
        <f t="shared" si="1"/>
        <v>0</v>
      </c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52">
        <f t="shared" si="2"/>
        <v>0</v>
      </c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  <c r="AO116" s="109"/>
      <c r="AP116" s="52">
        <f t="shared" si="3"/>
        <v>0</v>
      </c>
      <c r="AR116" s="45">
        <f t="shared" si="4"/>
        <v>0</v>
      </c>
      <c r="AS116" s="45">
        <f t="shared" si="5"/>
        <v>0</v>
      </c>
      <c r="AT116" s="45" t="str">
        <f t="shared" si="6"/>
        <v>#DIV/0!</v>
      </c>
      <c r="AV116" s="45">
        <f t="shared" si="7"/>
        <v>0</v>
      </c>
      <c r="AW116" s="45">
        <f t="shared" si="8"/>
        <v>0</v>
      </c>
      <c r="AX116" s="45" t="str">
        <f t="shared" si="9"/>
        <v>#DIV/0!</v>
      </c>
      <c r="AZ116" s="45">
        <f t="shared" si="10"/>
        <v>0</v>
      </c>
      <c r="BA116" s="45">
        <f t="shared" si="11"/>
        <v>0</v>
      </c>
      <c r="BB116" s="45" t="str">
        <f t="shared" si="12"/>
        <v>#DIV/0!</v>
      </c>
      <c r="BD116" s="45">
        <f t="shared" si="13"/>
        <v>0</v>
      </c>
      <c r="BE116" s="45">
        <f t="shared" si="14"/>
        <v>0</v>
      </c>
      <c r="BF116" s="45" t="str">
        <f t="shared" si="15"/>
        <v>#DIV/0!</v>
      </c>
      <c r="BH116" s="45">
        <f t="shared" si="16"/>
        <v>0</v>
      </c>
      <c r="BI116" s="45">
        <f t="shared" si="17"/>
        <v>0</v>
      </c>
      <c r="BJ116" s="45" t="str">
        <f t="shared" si="18"/>
        <v>#DIV/0!</v>
      </c>
    </row>
    <row r="117" ht="15.75" customHeight="1">
      <c r="A117" s="52">
        <v>106.0</v>
      </c>
      <c r="B117" s="45"/>
      <c r="C117" s="45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52">
        <f t="shared" si="1"/>
        <v>0</v>
      </c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52">
        <f t="shared" si="2"/>
        <v>0</v>
      </c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  <c r="AO117" s="109"/>
      <c r="AP117" s="52">
        <f t="shared" si="3"/>
        <v>0</v>
      </c>
      <c r="AR117" s="45">
        <f t="shared" si="4"/>
        <v>0</v>
      </c>
      <c r="AS117" s="45">
        <f t="shared" si="5"/>
        <v>0</v>
      </c>
      <c r="AT117" s="45" t="str">
        <f t="shared" si="6"/>
        <v>#DIV/0!</v>
      </c>
      <c r="AV117" s="45">
        <f t="shared" si="7"/>
        <v>0</v>
      </c>
      <c r="AW117" s="45">
        <f t="shared" si="8"/>
        <v>0</v>
      </c>
      <c r="AX117" s="45" t="str">
        <f t="shared" si="9"/>
        <v>#DIV/0!</v>
      </c>
      <c r="AZ117" s="45">
        <f t="shared" si="10"/>
        <v>0</v>
      </c>
      <c r="BA117" s="45">
        <f t="shared" si="11"/>
        <v>0</v>
      </c>
      <c r="BB117" s="45" t="str">
        <f t="shared" si="12"/>
        <v>#DIV/0!</v>
      </c>
      <c r="BD117" s="45">
        <f t="shared" si="13"/>
        <v>0</v>
      </c>
      <c r="BE117" s="45">
        <f t="shared" si="14"/>
        <v>0</v>
      </c>
      <c r="BF117" s="45" t="str">
        <f t="shared" si="15"/>
        <v>#DIV/0!</v>
      </c>
      <c r="BH117" s="45">
        <f t="shared" si="16"/>
        <v>0</v>
      </c>
      <c r="BI117" s="45">
        <f t="shared" si="17"/>
        <v>0</v>
      </c>
      <c r="BJ117" s="45" t="str">
        <f t="shared" si="18"/>
        <v>#DIV/0!</v>
      </c>
    </row>
    <row r="118" ht="15.75" customHeight="1">
      <c r="A118" s="52">
        <v>107.0</v>
      </c>
      <c r="B118" s="45"/>
      <c r="C118" s="45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52">
        <f t="shared" si="1"/>
        <v>0</v>
      </c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52">
        <f t="shared" si="2"/>
        <v>0</v>
      </c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52">
        <f t="shared" si="3"/>
        <v>0</v>
      </c>
      <c r="AR118" s="45">
        <f t="shared" si="4"/>
        <v>0</v>
      </c>
      <c r="AS118" s="45">
        <f t="shared" si="5"/>
        <v>0</v>
      </c>
      <c r="AT118" s="45" t="str">
        <f t="shared" si="6"/>
        <v>#DIV/0!</v>
      </c>
      <c r="AV118" s="45">
        <f t="shared" si="7"/>
        <v>0</v>
      </c>
      <c r="AW118" s="45">
        <f t="shared" si="8"/>
        <v>0</v>
      </c>
      <c r="AX118" s="45" t="str">
        <f t="shared" si="9"/>
        <v>#DIV/0!</v>
      </c>
      <c r="AZ118" s="45">
        <f t="shared" si="10"/>
        <v>0</v>
      </c>
      <c r="BA118" s="45">
        <f t="shared" si="11"/>
        <v>0</v>
      </c>
      <c r="BB118" s="45" t="str">
        <f t="shared" si="12"/>
        <v>#DIV/0!</v>
      </c>
      <c r="BD118" s="45">
        <f t="shared" si="13"/>
        <v>0</v>
      </c>
      <c r="BE118" s="45">
        <f t="shared" si="14"/>
        <v>0</v>
      </c>
      <c r="BF118" s="45" t="str">
        <f t="shared" si="15"/>
        <v>#DIV/0!</v>
      </c>
      <c r="BH118" s="45">
        <f t="shared" si="16"/>
        <v>0</v>
      </c>
      <c r="BI118" s="45">
        <f t="shared" si="17"/>
        <v>0</v>
      </c>
      <c r="BJ118" s="45" t="str">
        <f t="shared" si="18"/>
        <v>#DIV/0!</v>
      </c>
    </row>
    <row r="119" ht="15.75" customHeight="1">
      <c r="A119" s="52">
        <v>108.0</v>
      </c>
      <c r="B119" s="45"/>
      <c r="C119" s="45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52">
        <f t="shared" si="1"/>
        <v>0</v>
      </c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52">
        <f t="shared" si="2"/>
        <v>0</v>
      </c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  <c r="AO119" s="109"/>
      <c r="AP119" s="52">
        <f t="shared" si="3"/>
        <v>0</v>
      </c>
      <c r="AR119" s="45">
        <f t="shared" si="4"/>
        <v>0</v>
      </c>
      <c r="AS119" s="45">
        <f t="shared" si="5"/>
        <v>0</v>
      </c>
      <c r="AT119" s="45" t="str">
        <f t="shared" si="6"/>
        <v>#DIV/0!</v>
      </c>
      <c r="AV119" s="45">
        <f t="shared" si="7"/>
        <v>0</v>
      </c>
      <c r="AW119" s="45">
        <f t="shared" si="8"/>
        <v>0</v>
      </c>
      <c r="AX119" s="45" t="str">
        <f t="shared" si="9"/>
        <v>#DIV/0!</v>
      </c>
      <c r="AZ119" s="45">
        <f t="shared" si="10"/>
        <v>0</v>
      </c>
      <c r="BA119" s="45">
        <f t="shared" si="11"/>
        <v>0</v>
      </c>
      <c r="BB119" s="45" t="str">
        <f t="shared" si="12"/>
        <v>#DIV/0!</v>
      </c>
      <c r="BD119" s="45">
        <f t="shared" si="13"/>
        <v>0</v>
      </c>
      <c r="BE119" s="45">
        <f t="shared" si="14"/>
        <v>0</v>
      </c>
      <c r="BF119" s="45" t="str">
        <f t="shared" si="15"/>
        <v>#DIV/0!</v>
      </c>
      <c r="BH119" s="45">
        <f t="shared" si="16"/>
        <v>0</v>
      </c>
      <c r="BI119" s="45">
        <f t="shared" si="17"/>
        <v>0</v>
      </c>
      <c r="BJ119" s="45" t="str">
        <f t="shared" si="18"/>
        <v>#DIV/0!</v>
      </c>
    </row>
    <row r="120" ht="15.75" customHeight="1">
      <c r="A120" s="52">
        <v>109.0</v>
      </c>
      <c r="B120" s="45"/>
      <c r="C120" s="45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52">
        <f t="shared" si="1"/>
        <v>0</v>
      </c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52">
        <f t="shared" si="2"/>
        <v>0</v>
      </c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  <c r="AO120" s="109"/>
      <c r="AP120" s="52">
        <f t="shared" si="3"/>
        <v>0</v>
      </c>
      <c r="AR120" s="45">
        <f t="shared" si="4"/>
        <v>0</v>
      </c>
      <c r="AS120" s="45">
        <f t="shared" si="5"/>
        <v>0</v>
      </c>
      <c r="AT120" s="45" t="str">
        <f t="shared" si="6"/>
        <v>#DIV/0!</v>
      </c>
      <c r="AV120" s="45">
        <f t="shared" si="7"/>
        <v>0</v>
      </c>
      <c r="AW120" s="45">
        <f t="shared" si="8"/>
        <v>0</v>
      </c>
      <c r="AX120" s="45" t="str">
        <f t="shared" si="9"/>
        <v>#DIV/0!</v>
      </c>
      <c r="AZ120" s="45">
        <f t="shared" si="10"/>
        <v>0</v>
      </c>
      <c r="BA120" s="45">
        <f t="shared" si="11"/>
        <v>0</v>
      </c>
      <c r="BB120" s="45" t="str">
        <f t="shared" si="12"/>
        <v>#DIV/0!</v>
      </c>
      <c r="BD120" s="45">
        <f t="shared" si="13"/>
        <v>0</v>
      </c>
      <c r="BE120" s="45">
        <f t="shared" si="14"/>
        <v>0</v>
      </c>
      <c r="BF120" s="45" t="str">
        <f t="shared" si="15"/>
        <v>#DIV/0!</v>
      </c>
      <c r="BH120" s="45">
        <f t="shared" si="16"/>
        <v>0</v>
      </c>
      <c r="BI120" s="45">
        <f t="shared" si="17"/>
        <v>0</v>
      </c>
      <c r="BJ120" s="45" t="str">
        <f t="shared" si="18"/>
        <v>#DIV/0!</v>
      </c>
    </row>
    <row r="121" ht="15.75" customHeight="1">
      <c r="A121" s="52">
        <v>110.0</v>
      </c>
      <c r="B121" s="45"/>
      <c r="C121" s="45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52">
        <f t="shared" si="1"/>
        <v>0</v>
      </c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52">
        <f t="shared" si="2"/>
        <v>0</v>
      </c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  <c r="AO121" s="109"/>
      <c r="AP121" s="52">
        <f t="shared" si="3"/>
        <v>0</v>
      </c>
      <c r="AR121" s="45">
        <f t="shared" si="4"/>
        <v>0</v>
      </c>
      <c r="AS121" s="45">
        <f t="shared" si="5"/>
        <v>0</v>
      </c>
      <c r="AT121" s="45" t="str">
        <f t="shared" si="6"/>
        <v>#DIV/0!</v>
      </c>
      <c r="AV121" s="45">
        <f t="shared" si="7"/>
        <v>0</v>
      </c>
      <c r="AW121" s="45">
        <f t="shared" si="8"/>
        <v>0</v>
      </c>
      <c r="AX121" s="45" t="str">
        <f t="shared" si="9"/>
        <v>#DIV/0!</v>
      </c>
      <c r="AZ121" s="45">
        <f t="shared" si="10"/>
        <v>0</v>
      </c>
      <c r="BA121" s="45">
        <f t="shared" si="11"/>
        <v>0</v>
      </c>
      <c r="BB121" s="45" t="str">
        <f t="shared" si="12"/>
        <v>#DIV/0!</v>
      </c>
      <c r="BD121" s="45">
        <f t="shared" si="13"/>
        <v>0</v>
      </c>
      <c r="BE121" s="45">
        <f t="shared" si="14"/>
        <v>0</v>
      </c>
      <c r="BF121" s="45" t="str">
        <f t="shared" si="15"/>
        <v>#DIV/0!</v>
      </c>
      <c r="BH121" s="45">
        <f t="shared" si="16"/>
        <v>0</v>
      </c>
      <c r="BI121" s="45">
        <f t="shared" si="17"/>
        <v>0</v>
      </c>
      <c r="BJ121" s="45" t="str">
        <f t="shared" si="18"/>
        <v>#DIV/0!</v>
      </c>
    </row>
    <row r="122" ht="15.75" customHeight="1">
      <c r="A122" s="52">
        <v>111.0</v>
      </c>
      <c r="B122" s="45"/>
      <c r="C122" s="45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52">
        <f t="shared" si="1"/>
        <v>0</v>
      </c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52">
        <f t="shared" si="2"/>
        <v>0</v>
      </c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  <c r="AO122" s="109"/>
      <c r="AP122" s="52">
        <f t="shared" si="3"/>
        <v>0</v>
      </c>
      <c r="AR122" s="45">
        <f t="shared" si="4"/>
        <v>0</v>
      </c>
      <c r="AS122" s="45">
        <f t="shared" si="5"/>
        <v>0</v>
      </c>
      <c r="AT122" s="45" t="str">
        <f t="shared" si="6"/>
        <v>#DIV/0!</v>
      </c>
      <c r="AV122" s="45">
        <f t="shared" si="7"/>
        <v>0</v>
      </c>
      <c r="AW122" s="45">
        <f t="shared" si="8"/>
        <v>0</v>
      </c>
      <c r="AX122" s="45" t="str">
        <f t="shared" si="9"/>
        <v>#DIV/0!</v>
      </c>
      <c r="AZ122" s="45">
        <f t="shared" si="10"/>
        <v>0</v>
      </c>
      <c r="BA122" s="45">
        <f t="shared" si="11"/>
        <v>0</v>
      </c>
      <c r="BB122" s="45" t="str">
        <f t="shared" si="12"/>
        <v>#DIV/0!</v>
      </c>
      <c r="BD122" s="45">
        <f t="shared" si="13"/>
        <v>0</v>
      </c>
      <c r="BE122" s="45">
        <f t="shared" si="14"/>
        <v>0</v>
      </c>
      <c r="BF122" s="45" t="str">
        <f t="shared" si="15"/>
        <v>#DIV/0!</v>
      </c>
      <c r="BH122" s="45">
        <f t="shared" si="16"/>
        <v>0</v>
      </c>
      <c r="BI122" s="45">
        <f t="shared" si="17"/>
        <v>0</v>
      </c>
      <c r="BJ122" s="45" t="str">
        <f t="shared" si="18"/>
        <v>#DIV/0!</v>
      </c>
    </row>
    <row r="123" ht="15.75" customHeight="1">
      <c r="A123" s="52">
        <v>112.0</v>
      </c>
      <c r="B123" s="45"/>
      <c r="C123" s="45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52">
        <f t="shared" si="1"/>
        <v>0</v>
      </c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52">
        <f t="shared" si="2"/>
        <v>0</v>
      </c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  <c r="AO123" s="109"/>
      <c r="AP123" s="52">
        <f t="shared" si="3"/>
        <v>0</v>
      </c>
      <c r="AR123" s="45">
        <f t="shared" si="4"/>
        <v>0</v>
      </c>
      <c r="AS123" s="45">
        <f t="shared" si="5"/>
        <v>0</v>
      </c>
      <c r="AT123" s="45" t="str">
        <f t="shared" si="6"/>
        <v>#DIV/0!</v>
      </c>
      <c r="AV123" s="45">
        <f t="shared" si="7"/>
        <v>0</v>
      </c>
      <c r="AW123" s="45">
        <f t="shared" si="8"/>
        <v>0</v>
      </c>
      <c r="AX123" s="45" t="str">
        <f t="shared" si="9"/>
        <v>#DIV/0!</v>
      </c>
      <c r="AZ123" s="45">
        <f t="shared" si="10"/>
        <v>0</v>
      </c>
      <c r="BA123" s="45">
        <f t="shared" si="11"/>
        <v>0</v>
      </c>
      <c r="BB123" s="45" t="str">
        <f t="shared" si="12"/>
        <v>#DIV/0!</v>
      </c>
      <c r="BD123" s="45">
        <f t="shared" si="13"/>
        <v>0</v>
      </c>
      <c r="BE123" s="45">
        <f t="shared" si="14"/>
        <v>0</v>
      </c>
      <c r="BF123" s="45" t="str">
        <f t="shared" si="15"/>
        <v>#DIV/0!</v>
      </c>
      <c r="BH123" s="45">
        <f t="shared" si="16"/>
        <v>0</v>
      </c>
      <c r="BI123" s="45">
        <f t="shared" si="17"/>
        <v>0</v>
      </c>
      <c r="BJ123" s="45" t="str">
        <f t="shared" si="18"/>
        <v>#DIV/0!</v>
      </c>
    </row>
    <row r="124" ht="15.75" customHeight="1">
      <c r="A124" s="52">
        <v>113.0</v>
      </c>
      <c r="B124" s="45"/>
      <c r="C124" s="45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52">
        <f t="shared" si="1"/>
        <v>0</v>
      </c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52">
        <f t="shared" si="2"/>
        <v>0</v>
      </c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  <c r="AO124" s="109"/>
      <c r="AP124" s="52">
        <f t="shared" si="3"/>
        <v>0</v>
      </c>
      <c r="AR124" s="45">
        <f t="shared" si="4"/>
        <v>0</v>
      </c>
      <c r="AS124" s="45">
        <f t="shared" si="5"/>
        <v>0</v>
      </c>
      <c r="AT124" s="45" t="str">
        <f t="shared" si="6"/>
        <v>#DIV/0!</v>
      </c>
      <c r="AV124" s="45">
        <f t="shared" si="7"/>
        <v>0</v>
      </c>
      <c r="AW124" s="45">
        <f t="shared" si="8"/>
        <v>0</v>
      </c>
      <c r="AX124" s="45" t="str">
        <f t="shared" si="9"/>
        <v>#DIV/0!</v>
      </c>
      <c r="AZ124" s="45">
        <f t="shared" si="10"/>
        <v>0</v>
      </c>
      <c r="BA124" s="45">
        <f t="shared" si="11"/>
        <v>0</v>
      </c>
      <c r="BB124" s="45" t="str">
        <f t="shared" si="12"/>
        <v>#DIV/0!</v>
      </c>
      <c r="BD124" s="45">
        <f t="shared" si="13"/>
        <v>0</v>
      </c>
      <c r="BE124" s="45">
        <f t="shared" si="14"/>
        <v>0</v>
      </c>
      <c r="BF124" s="45" t="str">
        <f t="shared" si="15"/>
        <v>#DIV/0!</v>
      </c>
      <c r="BH124" s="45">
        <f t="shared" si="16"/>
        <v>0</v>
      </c>
      <c r="BI124" s="45">
        <f t="shared" si="17"/>
        <v>0</v>
      </c>
      <c r="BJ124" s="45" t="str">
        <f t="shared" si="18"/>
        <v>#DIV/0!</v>
      </c>
    </row>
    <row r="125" ht="15.75" customHeight="1">
      <c r="A125" s="52">
        <v>114.0</v>
      </c>
      <c r="B125" s="45"/>
      <c r="C125" s="45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52">
        <f t="shared" si="1"/>
        <v>0</v>
      </c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52">
        <f t="shared" si="2"/>
        <v>0</v>
      </c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  <c r="AO125" s="109"/>
      <c r="AP125" s="52">
        <f t="shared" si="3"/>
        <v>0</v>
      </c>
      <c r="AR125" s="45">
        <f t="shared" si="4"/>
        <v>0</v>
      </c>
      <c r="AS125" s="45">
        <f t="shared" si="5"/>
        <v>0</v>
      </c>
      <c r="AT125" s="45" t="str">
        <f t="shared" si="6"/>
        <v>#DIV/0!</v>
      </c>
      <c r="AV125" s="45">
        <f t="shared" si="7"/>
        <v>0</v>
      </c>
      <c r="AW125" s="45">
        <f t="shared" si="8"/>
        <v>0</v>
      </c>
      <c r="AX125" s="45" t="str">
        <f t="shared" si="9"/>
        <v>#DIV/0!</v>
      </c>
      <c r="AZ125" s="45">
        <f t="shared" si="10"/>
        <v>0</v>
      </c>
      <c r="BA125" s="45">
        <f t="shared" si="11"/>
        <v>0</v>
      </c>
      <c r="BB125" s="45" t="str">
        <f t="shared" si="12"/>
        <v>#DIV/0!</v>
      </c>
      <c r="BD125" s="45">
        <f t="shared" si="13"/>
        <v>0</v>
      </c>
      <c r="BE125" s="45">
        <f t="shared" si="14"/>
        <v>0</v>
      </c>
      <c r="BF125" s="45" t="str">
        <f t="shared" si="15"/>
        <v>#DIV/0!</v>
      </c>
      <c r="BH125" s="45">
        <f t="shared" si="16"/>
        <v>0</v>
      </c>
      <c r="BI125" s="45">
        <f t="shared" si="17"/>
        <v>0</v>
      </c>
      <c r="BJ125" s="45" t="str">
        <f t="shared" si="18"/>
        <v>#DIV/0!</v>
      </c>
    </row>
    <row r="126" ht="15.75" customHeight="1">
      <c r="A126" s="52">
        <v>115.0</v>
      </c>
      <c r="B126" s="45"/>
      <c r="C126" s="45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52">
        <f t="shared" si="1"/>
        <v>0</v>
      </c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52">
        <f t="shared" si="2"/>
        <v>0</v>
      </c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  <c r="AO126" s="109"/>
      <c r="AP126" s="52">
        <f t="shared" si="3"/>
        <v>0</v>
      </c>
      <c r="AR126" s="45">
        <f t="shared" si="4"/>
        <v>0</v>
      </c>
      <c r="AS126" s="45">
        <f t="shared" si="5"/>
        <v>0</v>
      </c>
      <c r="AT126" s="45" t="str">
        <f t="shared" si="6"/>
        <v>#DIV/0!</v>
      </c>
      <c r="AV126" s="45">
        <f t="shared" si="7"/>
        <v>0</v>
      </c>
      <c r="AW126" s="45">
        <f t="shared" si="8"/>
        <v>0</v>
      </c>
      <c r="AX126" s="45" t="str">
        <f t="shared" si="9"/>
        <v>#DIV/0!</v>
      </c>
      <c r="AZ126" s="45">
        <f t="shared" si="10"/>
        <v>0</v>
      </c>
      <c r="BA126" s="45">
        <f t="shared" si="11"/>
        <v>0</v>
      </c>
      <c r="BB126" s="45" t="str">
        <f t="shared" si="12"/>
        <v>#DIV/0!</v>
      </c>
      <c r="BD126" s="45">
        <f t="shared" si="13"/>
        <v>0</v>
      </c>
      <c r="BE126" s="45">
        <f t="shared" si="14"/>
        <v>0</v>
      </c>
      <c r="BF126" s="45" t="str">
        <f t="shared" si="15"/>
        <v>#DIV/0!</v>
      </c>
      <c r="BH126" s="45">
        <f t="shared" si="16"/>
        <v>0</v>
      </c>
      <c r="BI126" s="45">
        <f t="shared" si="17"/>
        <v>0</v>
      </c>
      <c r="BJ126" s="45" t="str">
        <f t="shared" si="18"/>
        <v>#DIV/0!</v>
      </c>
    </row>
    <row r="127" ht="15.75" customHeight="1">
      <c r="A127" s="52">
        <v>116.0</v>
      </c>
      <c r="B127" s="110"/>
      <c r="C127" s="110"/>
      <c r="D127" s="111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52">
        <f t="shared" si="1"/>
        <v>0</v>
      </c>
      <c r="Q127" s="111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52">
        <f t="shared" si="2"/>
        <v>0</v>
      </c>
      <c r="AD127" s="111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112">
        <f t="shared" si="3"/>
        <v>0</v>
      </c>
      <c r="AR127" s="45">
        <f t="shared" si="4"/>
        <v>0</v>
      </c>
      <c r="AS127" s="45">
        <f t="shared" si="5"/>
        <v>0</v>
      </c>
      <c r="AT127" s="45" t="str">
        <f t="shared" si="6"/>
        <v>#DIV/0!</v>
      </c>
      <c r="AV127" s="45">
        <f t="shared" si="7"/>
        <v>0</v>
      </c>
      <c r="AW127" s="45">
        <f t="shared" si="8"/>
        <v>0</v>
      </c>
      <c r="AX127" s="45" t="str">
        <f t="shared" si="9"/>
        <v>#DIV/0!</v>
      </c>
      <c r="AZ127" s="45">
        <f t="shared" si="10"/>
        <v>0</v>
      </c>
      <c r="BA127" s="45">
        <f t="shared" si="11"/>
        <v>0</v>
      </c>
      <c r="BB127" s="45" t="str">
        <f t="shared" si="12"/>
        <v>#DIV/0!</v>
      </c>
      <c r="BD127" s="45">
        <f t="shared" si="13"/>
        <v>0</v>
      </c>
      <c r="BE127" s="45">
        <f t="shared" si="14"/>
        <v>0</v>
      </c>
      <c r="BF127" s="45" t="str">
        <f t="shared" si="15"/>
        <v>#DIV/0!</v>
      </c>
      <c r="BH127" s="45">
        <f t="shared" si="16"/>
        <v>0</v>
      </c>
      <c r="BI127" s="45">
        <f t="shared" si="17"/>
        <v>0</v>
      </c>
      <c r="BJ127" s="45" t="str">
        <f t="shared" si="18"/>
        <v>#DIV/0!</v>
      </c>
    </row>
    <row r="128" ht="15.75" customHeight="1">
      <c r="A128" s="52">
        <v>117.0</v>
      </c>
      <c r="B128" s="110"/>
      <c r="C128" s="110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52">
        <f t="shared" si="1"/>
        <v>0</v>
      </c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52">
        <f t="shared" si="2"/>
        <v>0</v>
      </c>
      <c r="AD128" s="113"/>
      <c r="AE128" s="113"/>
      <c r="AF128" s="113"/>
      <c r="AG128" s="113"/>
      <c r="AH128" s="113"/>
      <c r="AI128" s="113"/>
      <c r="AJ128" s="113"/>
      <c r="AK128" s="113"/>
      <c r="AL128" s="113"/>
      <c r="AM128" s="113"/>
      <c r="AN128" s="113"/>
      <c r="AO128" s="113"/>
      <c r="AP128" s="52">
        <f t="shared" si="3"/>
        <v>0</v>
      </c>
      <c r="AR128" s="45">
        <f t="shared" si="4"/>
        <v>0</v>
      </c>
      <c r="AS128" s="45">
        <f t="shared" si="5"/>
        <v>0</v>
      </c>
      <c r="AT128" s="45" t="str">
        <f t="shared" si="6"/>
        <v>#DIV/0!</v>
      </c>
      <c r="AV128" s="45">
        <f t="shared" si="7"/>
        <v>0</v>
      </c>
      <c r="AW128" s="45">
        <f t="shared" si="8"/>
        <v>0</v>
      </c>
      <c r="AX128" s="45" t="str">
        <f t="shared" si="9"/>
        <v>#DIV/0!</v>
      </c>
      <c r="AZ128" s="45">
        <f t="shared" si="10"/>
        <v>0</v>
      </c>
      <c r="BA128" s="45">
        <f t="shared" si="11"/>
        <v>0</v>
      </c>
      <c r="BB128" s="45" t="str">
        <f t="shared" si="12"/>
        <v>#DIV/0!</v>
      </c>
      <c r="BD128" s="45">
        <f t="shared" si="13"/>
        <v>0</v>
      </c>
      <c r="BE128" s="45">
        <f t="shared" si="14"/>
        <v>0</v>
      </c>
      <c r="BF128" s="45" t="str">
        <f t="shared" si="15"/>
        <v>#DIV/0!</v>
      </c>
      <c r="BH128" s="45">
        <f t="shared" si="16"/>
        <v>0</v>
      </c>
      <c r="BI128" s="45">
        <f t="shared" si="17"/>
        <v>0</v>
      </c>
      <c r="BJ128" s="45" t="str">
        <f t="shared" si="18"/>
        <v>#DIV/0!</v>
      </c>
    </row>
    <row r="129" ht="15.75" customHeight="1">
      <c r="A129" s="52">
        <v>118.0</v>
      </c>
      <c r="B129" s="110"/>
      <c r="C129" s="110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52">
        <f t="shared" si="1"/>
        <v>0</v>
      </c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52">
        <f t="shared" si="2"/>
        <v>0</v>
      </c>
      <c r="AD129" s="113"/>
      <c r="AE129" s="113"/>
      <c r="AF129" s="113"/>
      <c r="AG129" s="113"/>
      <c r="AH129" s="113"/>
      <c r="AI129" s="113"/>
      <c r="AJ129" s="113"/>
      <c r="AK129" s="113"/>
      <c r="AL129" s="113"/>
      <c r="AM129" s="113"/>
      <c r="AN129" s="113"/>
      <c r="AO129" s="113"/>
      <c r="AP129" s="52">
        <f t="shared" si="3"/>
        <v>0</v>
      </c>
      <c r="AR129" s="45">
        <f t="shared" si="4"/>
        <v>0</v>
      </c>
      <c r="AS129" s="45">
        <f t="shared" si="5"/>
        <v>0</v>
      </c>
      <c r="AT129" s="45" t="str">
        <f t="shared" si="6"/>
        <v>#DIV/0!</v>
      </c>
      <c r="AV129" s="45">
        <f t="shared" si="7"/>
        <v>0</v>
      </c>
      <c r="AW129" s="45">
        <f t="shared" si="8"/>
        <v>0</v>
      </c>
      <c r="AX129" s="45" t="str">
        <f t="shared" si="9"/>
        <v>#DIV/0!</v>
      </c>
      <c r="AZ129" s="45">
        <f t="shared" si="10"/>
        <v>0</v>
      </c>
      <c r="BA129" s="45">
        <f t="shared" si="11"/>
        <v>0</v>
      </c>
      <c r="BB129" s="45" t="str">
        <f t="shared" si="12"/>
        <v>#DIV/0!</v>
      </c>
      <c r="BD129" s="45">
        <f t="shared" si="13"/>
        <v>0</v>
      </c>
      <c r="BE129" s="45">
        <f t="shared" si="14"/>
        <v>0</v>
      </c>
      <c r="BF129" s="45" t="str">
        <f t="shared" si="15"/>
        <v>#DIV/0!</v>
      </c>
      <c r="BH129" s="45">
        <f t="shared" si="16"/>
        <v>0</v>
      </c>
      <c r="BI129" s="45">
        <f t="shared" si="17"/>
        <v>0</v>
      </c>
      <c r="BJ129" s="45" t="str">
        <f t="shared" si="18"/>
        <v>#DIV/0!</v>
      </c>
    </row>
    <row r="130" ht="15.75" customHeight="1">
      <c r="A130" s="52">
        <v>119.0</v>
      </c>
      <c r="B130" s="110"/>
      <c r="C130" s="110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52">
        <f t="shared" si="1"/>
        <v>0</v>
      </c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52">
        <f t="shared" si="2"/>
        <v>0</v>
      </c>
      <c r="AD130" s="113"/>
      <c r="AE130" s="113"/>
      <c r="AF130" s="113"/>
      <c r="AG130" s="113"/>
      <c r="AH130" s="113"/>
      <c r="AI130" s="113"/>
      <c r="AJ130" s="113"/>
      <c r="AK130" s="113"/>
      <c r="AL130" s="113"/>
      <c r="AM130" s="113"/>
      <c r="AN130" s="113"/>
      <c r="AO130" s="113"/>
      <c r="AP130" s="52">
        <f t="shared" si="3"/>
        <v>0</v>
      </c>
      <c r="AR130" s="45">
        <f t="shared" si="4"/>
        <v>0</v>
      </c>
      <c r="AS130" s="45">
        <f t="shared" si="5"/>
        <v>0</v>
      </c>
      <c r="AT130" s="45" t="str">
        <f t="shared" si="6"/>
        <v>#DIV/0!</v>
      </c>
      <c r="AV130" s="45">
        <f t="shared" si="7"/>
        <v>0</v>
      </c>
      <c r="AW130" s="45">
        <f t="shared" si="8"/>
        <v>0</v>
      </c>
      <c r="AX130" s="45" t="str">
        <f t="shared" si="9"/>
        <v>#DIV/0!</v>
      </c>
      <c r="AZ130" s="45">
        <f t="shared" si="10"/>
        <v>0</v>
      </c>
      <c r="BA130" s="45">
        <f t="shared" si="11"/>
        <v>0</v>
      </c>
      <c r="BB130" s="45" t="str">
        <f t="shared" si="12"/>
        <v>#DIV/0!</v>
      </c>
      <c r="BD130" s="45">
        <f t="shared" si="13"/>
        <v>0</v>
      </c>
      <c r="BE130" s="45">
        <f t="shared" si="14"/>
        <v>0</v>
      </c>
      <c r="BF130" s="45" t="str">
        <f t="shared" si="15"/>
        <v>#DIV/0!</v>
      </c>
      <c r="BH130" s="45">
        <f t="shared" si="16"/>
        <v>0</v>
      </c>
      <c r="BI130" s="45">
        <f t="shared" si="17"/>
        <v>0</v>
      </c>
      <c r="BJ130" s="45" t="str">
        <f t="shared" si="18"/>
        <v>#DIV/0!</v>
      </c>
    </row>
    <row r="131" ht="15.75" customHeight="1">
      <c r="A131" s="52">
        <v>120.0</v>
      </c>
      <c r="B131" s="110"/>
      <c r="C131" s="110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52">
        <f t="shared" si="1"/>
        <v>0</v>
      </c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52">
        <f t="shared" si="2"/>
        <v>0</v>
      </c>
      <c r="AD131" s="113"/>
      <c r="AE131" s="113"/>
      <c r="AF131" s="113"/>
      <c r="AG131" s="113"/>
      <c r="AH131" s="113"/>
      <c r="AI131" s="113"/>
      <c r="AJ131" s="113"/>
      <c r="AK131" s="113"/>
      <c r="AL131" s="113"/>
      <c r="AM131" s="113"/>
      <c r="AN131" s="113"/>
      <c r="AO131" s="113"/>
      <c r="AP131" s="52">
        <f t="shared" si="3"/>
        <v>0</v>
      </c>
      <c r="AR131" s="45">
        <f t="shared" si="4"/>
        <v>0</v>
      </c>
      <c r="AS131" s="45">
        <f t="shared" si="5"/>
        <v>0</v>
      </c>
      <c r="AT131" s="45" t="str">
        <f t="shared" si="6"/>
        <v>#DIV/0!</v>
      </c>
      <c r="AV131" s="45">
        <f t="shared" si="7"/>
        <v>0</v>
      </c>
      <c r="AW131" s="45">
        <f t="shared" si="8"/>
        <v>0</v>
      </c>
      <c r="AX131" s="45" t="str">
        <f t="shared" si="9"/>
        <v>#DIV/0!</v>
      </c>
      <c r="AZ131" s="45">
        <f t="shared" si="10"/>
        <v>0</v>
      </c>
      <c r="BA131" s="45">
        <f t="shared" si="11"/>
        <v>0</v>
      </c>
      <c r="BB131" s="45" t="str">
        <f t="shared" si="12"/>
        <v>#DIV/0!</v>
      </c>
      <c r="BD131" s="45">
        <f t="shared" si="13"/>
        <v>0</v>
      </c>
      <c r="BE131" s="45">
        <f t="shared" si="14"/>
        <v>0</v>
      </c>
      <c r="BF131" s="45" t="str">
        <f t="shared" si="15"/>
        <v>#DIV/0!</v>
      </c>
      <c r="BH131" s="45">
        <f t="shared" si="16"/>
        <v>0</v>
      </c>
      <c r="BI131" s="45">
        <f t="shared" si="17"/>
        <v>0</v>
      </c>
      <c r="BJ131" s="45" t="str">
        <f t="shared" si="18"/>
        <v>#DIV/0!</v>
      </c>
    </row>
    <row r="132" ht="15.75" customHeight="1">
      <c r="A132" s="52">
        <v>121.0</v>
      </c>
      <c r="B132" s="110"/>
      <c r="C132" s="110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52">
        <f t="shared" si="1"/>
        <v>0</v>
      </c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52">
        <f t="shared" si="2"/>
        <v>0</v>
      </c>
      <c r="AD132" s="113"/>
      <c r="AE132" s="113"/>
      <c r="AF132" s="113"/>
      <c r="AG132" s="113"/>
      <c r="AH132" s="113"/>
      <c r="AI132" s="113"/>
      <c r="AJ132" s="113"/>
      <c r="AK132" s="113"/>
      <c r="AL132" s="113"/>
      <c r="AM132" s="113"/>
      <c r="AN132" s="113"/>
      <c r="AO132" s="113"/>
      <c r="AP132" s="52">
        <f t="shared" si="3"/>
        <v>0</v>
      </c>
      <c r="AR132" s="45">
        <f t="shared" si="4"/>
        <v>0</v>
      </c>
      <c r="AS132" s="45">
        <f t="shared" si="5"/>
        <v>0</v>
      </c>
      <c r="AT132" s="45" t="str">
        <f t="shared" si="6"/>
        <v>#DIV/0!</v>
      </c>
      <c r="AV132" s="45">
        <f t="shared" si="7"/>
        <v>0</v>
      </c>
      <c r="AW132" s="45">
        <f t="shared" si="8"/>
        <v>0</v>
      </c>
      <c r="AX132" s="45" t="str">
        <f t="shared" si="9"/>
        <v>#DIV/0!</v>
      </c>
      <c r="AZ132" s="45">
        <f t="shared" si="10"/>
        <v>0</v>
      </c>
      <c r="BA132" s="45">
        <f t="shared" si="11"/>
        <v>0</v>
      </c>
      <c r="BB132" s="45" t="str">
        <f t="shared" si="12"/>
        <v>#DIV/0!</v>
      </c>
      <c r="BD132" s="45">
        <f t="shared" si="13"/>
        <v>0</v>
      </c>
      <c r="BE132" s="45">
        <f t="shared" si="14"/>
        <v>0</v>
      </c>
      <c r="BF132" s="45" t="str">
        <f t="shared" si="15"/>
        <v>#DIV/0!</v>
      </c>
      <c r="BH132" s="45">
        <f t="shared" si="16"/>
        <v>0</v>
      </c>
      <c r="BI132" s="45">
        <f t="shared" si="17"/>
        <v>0</v>
      </c>
      <c r="BJ132" s="45" t="str">
        <f t="shared" si="18"/>
        <v>#DIV/0!</v>
      </c>
    </row>
    <row r="133" ht="15.75" customHeight="1">
      <c r="A133" s="52">
        <v>122.0</v>
      </c>
      <c r="B133" s="110"/>
      <c r="C133" s="110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52">
        <f t="shared" si="1"/>
        <v>0</v>
      </c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52">
        <f t="shared" si="2"/>
        <v>0</v>
      </c>
      <c r="AD133" s="113"/>
      <c r="AE133" s="113"/>
      <c r="AF133" s="113"/>
      <c r="AG133" s="113"/>
      <c r="AH133" s="113"/>
      <c r="AI133" s="113"/>
      <c r="AJ133" s="113"/>
      <c r="AK133" s="113"/>
      <c r="AL133" s="113"/>
      <c r="AM133" s="113"/>
      <c r="AN133" s="113"/>
      <c r="AO133" s="113"/>
      <c r="AP133" s="52">
        <f t="shared" si="3"/>
        <v>0</v>
      </c>
      <c r="AR133" s="45">
        <f t="shared" si="4"/>
        <v>0</v>
      </c>
      <c r="AS133" s="45">
        <f t="shared" si="5"/>
        <v>0</v>
      </c>
      <c r="AT133" s="45" t="str">
        <f t="shared" si="6"/>
        <v>#DIV/0!</v>
      </c>
      <c r="AV133" s="45">
        <f t="shared" si="7"/>
        <v>0</v>
      </c>
      <c r="AW133" s="45">
        <f t="shared" si="8"/>
        <v>0</v>
      </c>
      <c r="AX133" s="45" t="str">
        <f t="shared" si="9"/>
        <v>#DIV/0!</v>
      </c>
      <c r="AZ133" s="45">
        <f t="shared" si="10"/>
        <v>0</v>
      </c>
      <c r="BA133" s="45">
        <f t="shared" si="11"/>
        <v>0</v>
      </c>
      <c r="BB133" s="45" t="str">
        <f t="shared" si="12"/>
        <v>#DIV/0!</v>
      </c>
      <c r="BD133" s="45">
        <f t="shared" si="13"/>
        <v>0</v>
      </c>
      <c r="BE133" s="45">
        <f t="shared" si="14"/>
        <v>0</v>
      </c>
      <c r="BF133" s="45" t="str">
        <f t="shared" si="15"/>
        <v>#DIV/0!</v>
      </c>
      <c r="BH133" s="45">
        <f t="shared" si="16"/>
        <v>0</v>
      </c>
      <c r="BI133" s="45">
        <f t="shared" si="17"/>
        <v>0</v>
      </c>
      <c r="BJ133" s="45" t="str">
        <f t="shared" si="18"/>
        <v>#DIV/0!</v>
      </c>
    </row>
    <row r="134" ht="15.75" customHeight="1">
      <c r="A134" s="52">
        <v>123.0</v>
      </c>
      <c r="B134" s="110"/>
      <c r="C134" s="110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52">
        <f t="shared" si="1"/>
        <v>0</v>
      </c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52">
        <f t="shared" si="2"/>
        <v>0</v>
      </c>
      <c r="AD134" s="113"/>
      <c r="AE134" s="113"/>
      <c r="AF134" s="113"/>
      <c r="AG134" s="113"/>
      <c r="AH134" s="113"/>
      <c r="AI134" s="113"/>
      <c r="AJ134" s="113"/>
      <c r="AK134" s="113"/>
      <c r="AL134" s="113"/>
      <c r="AM134" s="113"/>
      <c r="AN134" s="113"/>
      <c r="AO134" s="113"/>
      <c r="AP134" s="52">
        <f t="shared" si="3"/>
        <v>0</v>
      </c>
      <c r="AR134" s="45">
        <f t="shared" si="4"/>
        <v>0</v>
      </c>
      <c r="AS134" s="45">
        <f t="shared" si="5"/>
        <v>0</v>
      </c>
      <c r="AT134" s="45" t="str">
        <f t="shared" si="6"/>
        <v>#DIV/0!</v>
      </c>
      <c r="AV134" s="45">
        <f t="shared" si="7"/>
        <v>0</v>
      </c>
      <c r="AW134" s="45">
        <f t="shared" si="8"/>
        <v>0</v>
      </c>
      <c r="AX134" s="45" t="str">
        <f t="shared" si="9"/>
        <v>#DIV/0!</v>
      </c>
      <c r="AZ134" s="45">
        <f t="shared" si="10"/>
        <v>0</v>
      </c>
      <c r="BA134" s="45">
        <f t="shared" si="11"/>
        <v>0</v>
      </c>
      <c r="BB134" s="45" t="str">
        <f t="shared" si="12"/>
        <v>#DIV/0!</v>
      </c>
      <c r="BD134" s="45">
        <f t="shared" si="13"/>
        <v>0</v>
      </c>
      <c r="BE134" s="45">
        <f t="shared" si="14"/>
        <v>0</v>
      </c>
      <c r="BF134" s="45" t="str">
        <f t="shared" si="15"/>
        <v>#DIV/0!</v>
      </c>
      <c r="BH134" s="45">
        <f t="shared" si="16"/>
        <v>0</v>
      </c>
      <c r="BI134" s="45">
        <f t="shared" si="17"/>
        <v>0</v>
      </c>
      <c r="BJ134" s="45" t="str">
        <f t="shared" si="18"/>
        <v>#DIV/0!</v>
      </c>
    </row>
    <row r="135" ht="15.75" customHeight="1">
      <c r="A135" s="52">
        <v>124.0</v>
      </c>
      <c r="B135" s="110"/>
      <c r="C135" s="110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52">
        <f t="shared" si="1"/>
        <v>0</v>
      </c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52">
        <f t="shared" si="2"/>
        <v>0</v>
      </c>
      <c r="AD135" s="113"/>
      <c r="AE135" s="113"/>
      <c r="AF135" s="113"/>
      <c r="AG135" s="113"/>
      <c r="AH135" s="113"/>
      <c r="AI135" s="113"/>
      <c r="AJ135" s="113"/>
      <c r="AK135" s="113"/>
      <c r="AL135" s="113"/>
      <c r="AM135" s="113"/>
      <c r="AN135" s="113"/>
      <c r="AO135" s="113"/>
      <c r="AP135" s="52">
        <f t="shared" si="3"/>
        <v>0</v>
      </c>
      <c r="AR135" s="45">
        <f t="shared" si="4"/>
        <v>0</v>
      </c>
      <c r="AS135" s="45">
        <f t="shared" si="5"/>
        <v>0</v>
      </c>
      <c r="AT135" s="45" t="str">
        <f t="shared" si="6"/>
        <v>#DIV/0!</v>
      </c>
      <c r="AV135" s="45">
        <f t="shared" si="7"/>
        <v>0</v>
      </c>
      <c r="AW135" s="45">
        <f t="shared" si="8"/>
        <v>0</v>
      </c>
      <c r="AX135" s="45" t="str">
        <f t="shared" si="9"/>
        <v>#DIV/0!</v>
      </c>
      <c r="AZ135" s="45">
        <f t="shared" si="10"/>
        <v>0</v>
      </c>
      <c r="BA135" s="45">
        <f t="shared" si="11"/>
        <v>0</v>
      </c>
      <c r="BB135" s="45" t="str">
        <f t="shared" si="12"/>
        <v>#DIV/0!</v>
      </c>
      <c r="BD135" s="45">
        <f t="shared" si="13"/>
        <v>0</v>
      </c>
      <c r="BE135" s="45">
        <f t="shared" si="14"/>
        <v>0</v>
      </c>
      <c r="BF135" s="45" t="str">
        <f t="shared" si="15"/>
        <v>#DIV/0!</v>
      </c>
      <c r="BH135" s="45">
        <f t="shared" si="16"/>
        <v>0</v>
      </c>
      <c r="BI135" s="45">
        <f t="shared" si="17"/>
        <v>0</v>
      </c>
      <c r="BJ135" s="45" t="str">
        <f t="shared" si="18"/>
        <v>#DIV/0!</v>
      </c>
    </row>
    <row r="136" ht="15.75" customHeight="1">
      <c r="A136" s="52">
        <v>125.0</v>
      </c>
      <c r="B136" s="110"/>
      <c r="C136" s="110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52">
        <f t="shared" si="1"/>
        <v>0</v>
      </c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52">
        <f t="shared" si="2"/>
        <v>0</v>
      </c>
      <c r="AD136" s="113"/>
      <c r="AE136" s="113"/>
      <c r="AF136" s="113"/>
      <c r="AG136" s="113"/>
      <c r="AH136" s="113"/>
      <c r="AI136" s="113"/>
      <c r="AJ136" s="113"/>
      <c r="AK136" s="113"/>
      <c r="AL136" s="113"/>
      <c r="AM136" s="113"/>
      <c r="AN136" s="113"/>
      <c r="AO136" s="113"/>
      <c r="AP136" s="52">
        <f t="shared" si="3"/>
        <v>0</v>
      </c>
      <c r="AR136" s="45">
        <f t="shared" si="4"/>
        <v>0</v>
      </c>
      <c r="AS136" s="45">
        <f t="shared" si="5"/>
        <v>0</v>
      </c>
      <c r="AT136" s="45" t="str">
        <f t="shared" si="6"/>
        <v>#DIV/0!</v>
      </c>
      <c r="AV136" s="45">
        <f t="shared" si="7"/>
        <v>0</v>
      </c>
      <c r="AW136" s="45">
        <f t="shared" si="8"/>
        <v>0</v>
      </c>
      <c r="AX136" s="45" t="str">
        <f t="shared" si="9"/>
        <v>#DIV/0!</v>
      </c>
      <c r="AZ136" s="45">
        <f t="shared" si="10"/>
        <v>0</v>
      </c>
      <c r="BA136" s="45">
        <f t="shared" si="11"/>
        <v>0</v>
      </c>
      <c r="BB136" s="45" t="str">
        <f t="shared" si="12"/>
        <v>#DIV/0!</v>
      </c>
      <c r="BD136" s="45">
        <f t="shared" si="13"/>
        <v>0</v>
      </c>
      <c r="BE136" s="45">
        <f t="shared" si="14"/>
        <v>0</v>
      </c>
      <c r="BF136" s="45" t="str">
        <f t="shared" si="15"/>
        <v>#DIV/0!</v>
      </c>
      <c r="BH136" s="45">
        <f t="shared" si="16"/>
        <v>0</v>
      </c>
      <c r="BI136" s="45">
        <f t="shared" si="17"/>
        <v>0</v>
      </c>
      <c r="BJ136" s="45" t="str">
        <f t="shared" si="18"/>
        <v>#DIV/0!</v>
      </c>
    </row>
    <row r="137" ht="15.75" customHeight="1">
      <c r="A137" s="52">
        <v>126.0</v>
      </c>
      <c r="B137" s="110"/>
      <c r="C137" s="110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52">
        <f t="shared" si="1"/>
        <v>0</v>
      </c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52">
        <f t="shared" si="2"/>
        <v>0</v>
      </c>
      <c r="AD137" s="113"/>
      <c r="AE137" s="113"/>
      <c r="AF137" s="113"/>
      <c r="AG137" s="113"/>
      <c r="AH137" s="113"/>
      <c r="AI137" s="113"/>
      <c r="AJ137" s="113"/>
      <c r="AK137" s="113"/>
      <c r="AL137" s="113"/>
      <c r="AM137" s="113"/>
      <c r="AN137" s="113"/>
      <c r="AO137" s="113"/>
      <c r="AP137" s="52">
        <f t="shared" si="3"/>
        <v>0</v>
      </c>
      <c r="AR137" s="45">
        <f t="shared" si="4"/>
        <v>0</v>
      </c>
      <c r="AS137" s="45">
        <f t="shared" si="5"/>
        <v>0</v>
      </c>
      <c r="AT137" s="45" t="str">
        <f t="shared" si="6"/>
        <v>#DIV/0!</v>
      </c>
      <c r="AV137" s="45">
        <f t="shared" si="7"/>
        <v>0</v>
      </c>
      <c r="AW137" s="45">
        <f t="shared" si="8"/>
        <v>0</v>
      </c>
      <c r="AX137" s="45" t="str">
        <f t="shared" si="9"/>
        <v>#DIV/0!</v>
      </c>
      <c r="AZ137" s="45">
        <f t="shared" si="10"/>
        <v>0</v>
      </c>
      <c r="BA137" s="45">
        <f t="shared" si="11"/>
        <v>0</v>
      </c>
      <c r="BB137" s="45" t="str">
        <f t="shared" si="12"/>
        <v>#DIV/0!</v>
      </c>
      <c r="BD137" s="45">
        <f t="shared" si="13"/>
        <v>0</v>
      </c>
      <c r="BE137" s="45">
        <f t="shared" si="14"/>
        <v>0</v>
      </c>
      <c r="BF137" s="45" t="str">
        <f t="shared" si="15"/>
        <v>#DIV/0!</v>
      </c>
      <c r="BH137" s="45">
        <f t="shared" si="16"/>
        <v>0</v>
      </c>
      <c r="BI137" s="45">
        <f t="shared" si="17"/>
        <v>0</v>
      </c>
      <c r="BJ137" s="45" t="str">
        <f t="shared" si="18"/>
        <v>#DIV/0!</v>
      </c>
    </row>
    <row r="138" ht="15.75" customHeight="1">
      <c r="A138" s="52">
        <v>127.0</v>
      </c>
      <c r="B138" s="110"/>
      <c r="C138" s="110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52">
        <f t="shared" si="1"/>
        <v>0</v>
      </c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52">
        <f t="shared" si="2"/>
        <v>0</v>
      </c>
      <c r="AD138" s="113"/>
      <c r="AE138" s="113"/>
      <c r="AF138" s="113"/>
      <c r="AG138" s="113"/>
      <c r="AH138" s="113"/>
      <c r="AI138" s="113"/>
      <c r="AJ138" s="113"/>
      <c r="AK138" s="113"/>
      <c r="AL138" s="113"/>
      <c r="AM138" s="113"/>
      <c r="AN138" s="113"/>
      <c r="AO138" s="113"/>
      <c r="AP138" s="52">
        <f t="shared" si="3"/>
        <v>0</v>
      </c>
      <c r="AR138" s="45">
        <f t="shared" si="4"/>
        <v>0</v>
      </c>
      <c r="AS138" s="45">
        <f t="shared" si="5"/>
        <v>0</v>
      </c>
      <c r="AT138" s="45" t="str">
        <f t="shared" si="6"/>
        <v>#DIV/0!</v>
      </c>
      <c r="AV138" s="45">
        <f t="shared" si="7"/>
        <v>0</v>
      </c>
      <c r="AW138" s="45">
        <f t="shared" si="8"/>
        <v>0</v>
      </c>
      <c r="AX138" s="45" t="str">
        <f t="shared" si="9"/>
        <v>#DIV/0!</v>
      </c>
      <c r="AZ138" s="45">
        <f t="shared" si="10"/>
        <v>0</v>
      </c>
      <c r="BA138" s="45">
        <f t="shared" si="11"/>
        <v>0</v>
      </c>
      <c r="BB138" s="45" t="str">
        <f t="shared" si="12"/>
        <v>#DIV/0!</v>
      </c>
      <c r="BD138" s="45">
        <f t="shared" si="13"/>
        <v>0</v>
      </c>
      <c r="BE138" s="45">
        <f t="shared" si="14"/>
        <v>0</v>
      </c>
      <c r="BF138" s="45" t="str">
        <f t="shared" si="15"/>
        <v>#DIV/0!</v>
      </c>
      <c r="BH138" s="45">
        <f t="shared" si="16"/>
        <v>0</v>
      </c>
      <c r="BI138" s="45">
        <f t="shared" si="17"/>
        <v>0</v>
      </c>
      <c r="BJ138" s="45" t="str">
        <f t="shared" si="18"/>
        <v>#DIV/0!</v>
      </c>
    </row>
    <row r="139" ht="15.75" customHeight="1">
      <c r="A139" s="52">
        <v>128.0</v>
      </c>
      <c r="B139" s="110"/>
      <c r="C139" s="110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52">
        <f t="shared" si="1"/>
        <v>0</v>
      </c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52">
        <f t="shared" si="2"/>
        <v>0</v>
      </c>
      <c r="AD139" s="113"/>
      <c r="AE139" s="113"/>
      <c r="AF139" s="113"/>
      <c r="AG139" s="113"/>
      <c r="AH139" s="113"/>
      <c r="AI139" s="113"/>
      <c r="AJ139" s="113"/>
      <c r="AK139" s="113"/>
      <c r="AL139" s="113"/>
      <c r="AM139" s="113"/>
      <c r="AN139" s="113"/>
      <c r="AO139" s="113"/>
      <c r="AP139" s="52">
        <f t="shared" si="3"/>
        <v>0</v>
      </c>
      <c r="AR139" s="45">
        <f t="shared" si="4"/>
        <v>0</v>
      </c>
      <c r="AS139" s="45">
        <f t="shared" si="5"/>
        <v>0</v>
      </c>
      <c r="AT139" s="45" t="str">
        <f t="shared" si="6"/>
        <v>#DIV/0!</v>
      </c>
      <c r="AV139" s="45">
        <f t="shared" si="7"/>
        <v>0</v>
      </c>
      <c r="AW139" s="45">
        <f t="shared" si="8"/>
        <v>0</v>
      </c>
      <c r="AX139" s="45" t="str">
        <f t="shared" si="9"/>
        <v>#DIV/0!</v>
      </c>
      <c r="AZ139" s="45">
        <f t="shared" si="10"/>
        <v>0</v>
      </c>
      <c r="BA139" s="45">
        <f t="shared" si="11"/>
        <v>0</v>
      </c>
      <c r="BB139" s="45" t="str">
        <f t="shared" si="12"/>
        <v>#DIV/0!</v>
      </c>
      <c r="BD139" s="45">
        <f t="shared" si="13"/>
        <v>0</v>
      </c>
      <c r="BE139" s="45">
        <f t="shared" si="14"/>
        <v>0</v>
      </c>
      <c r="BF139" s="45" t="str">
        <f t="shared" si="15"/>
        <v>#DIV/0!</v>
      </c>
      <c r="BH139" s="45">
        <f t="shared" si="16"/>
        <v>0</v>
      </c>
      <c r="BI139" s="45">
        <f t="shared" si="17"/>
        <v>0</v>
      </c>
      <c r="BJ139" s="45" t="str">
        <f t="shared" si="18"/>
        <v>#DIV/0!</v>
      </c>
    </row>
    <row r="140" ht="15.75" customHeight="1">
      <c r="A140" s="52">
        <v>129.0</v>
      </c>
      <c r="B140" s="110"/>
      <c r="C140" s="110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52">
        <f t="shared" si="1"/>
        <v>0</v>
      </c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52">
        <f t="shared" si="2"/>
        <v>0</v>
      </c>
      <c r="AD140" s="113"/>
      <c r="AE140" s="113"/>
      <c r="AF140" s="113"/>
      <c r="AG140" s="113"/>
      <c r="AH140" s="113"/>
      <c r="AI140" s="113"/>
      <c r="AJ140" s="113"/>
      <c r="AK140" s="113"/>
      <c r="AL140" s="113"/>
      <c r="AM140" s="113"/>
      <c r="AN140" s="113"/>
      <c r="AO140" s="113"/>
      <c r="AP140" s="52">
        <f t="shared" si="3"/>
        <v>0</v>
      </c>
      <c r="AR140" s="45">
        <f t="shared" si="4"/>
        <v>0</v>
      </c>
      <c r="AS140" s="45">
        <f t="shared" si="5"/>
        <v>0</v>
      </c>
      <c r="AT140" s="45" t="str">
        <f t="shared" si="6"/>
        <v>#DIV/0!</v>
      </c>
      <c r="AV140" s="45">
        <f t="shared" si="7"/>
        <v>0</v>
      </c>
      <c r="AW140" s="45">
        <f t="shared" si="8"/>
        <v>0</v>
      </c>
      <c r="AX140" s="45" t="str">
        <f t="shared" si="9"/>
        <v>#DIV/0!</v>
      </c>
      <c r="AZ140" s="45">
        <f t="shared" si="10"/>
        <v>0</v>
      </c>
      <c r="BA140" s="45">
        <f t="shared" si="11"/>
        <v>0</v>
      </c>
      <c r="BB140" s="45" t="str">
        <f t="shared" si="12"/>
        <v>#DIV/0!</v>
      </c>
      <c r="BD140" s="45">
        <f t="shared" si="13"/>
        <v>0</v>
      </c>
      <c r="BE140" s="45">
        <f t="shared" si="14"/>
        <v>0</v>
      </c>
      <c r="BF140" s="45" t="str">
        <f t="shared" si="15"/>
        <v>#DIV/0!</v>
      </c>
      <c r="BH140" s="45">
        <f t="shared" si="16"/>
        <v>0</v>
      </c>
      <c r="BI140" s="45">
        <f t="shared" si="17"/>
        <v>0</v>
      </c>
      <c r="BJ140" s="45" t="str">
        <f t="shared" si="18"/>
        <v>#DIV/0!</v>
      </c>
    </row>
    <row r="141" ht="15.75" customHeight="1">
      <c r="A141" s="52">
        <v>130.0</v>
      </c>
      <c r="B141" s="110"/>
      <c r="C141" s="110"/>
      <c r="D141" s="114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52">
        <f t="shared" si="1"/>
        <v>0</v>
      </c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52">
        <f t="shared" si="2"/>
        <v>0</v>
      </c>
      <c r="AD141" s="115"/>
      <c r="AE141" s="115"/>
      <c r="AF141" s="115"/>
      <c r="AG141" s="115"/>
      <c r="AH141" s="45"/>
      <c r="AI141" s="45"/>
      <c r="AJ141" s="45"/>
      <c r="AK141" s="45"/>
      <c r="AL141" s="115"/>
      <c r="AM141" s="115"/>
      <c r="AN141" s="115"/>
      <c r="AO141" s="45"/>
      <c r="AP141" s="52">
        <f t="shared" si="3"/>
        <v>0</v>
      </c>
      <c r="AR141" s="45">
        <f t="shared" si="4"/>
        <v>0</v>
      </c>
      <c r="AS141" s="45">
        <f t="shared" si="5"/>
        <v>0</v>
      </c>
      <c r="AT141" s="45" t="str">
        <f t="shared" si="6"/>
        <v>#DIV/0!</v>
      </c>
      <c r="AV141" s="45">
        <f t="shared" si="7"/>
        <v>0</v>
      </c>
      <c r="AW141" s="45">
        <f t="shared" si="8"/>
        <v>0</v>
      </c>
      <c r="AX141" s="45" t="str">
        <f t="shared" si="9"/>
        <v>#DIV/0!</v>
      </c>
      <c r="AZ141" s="45">
        <f t="shared" si="10"/>
        <v>0</v>
      </c>
      <c r="BA141" s="45">
        <f t="shared" si="11"/>
        <v>0</v>
      </c>
      <c r="BB141" s="45" t="str">
        <f t="shared" si="12"/>
        <v>#DIV/0!</v>
      </c>
      <c r="BD141" s="45">
        <f t="shared" si="13"/>
        <v>0</v>
      </c>
      <c r="BE141" s="45">
        <f t="shared" si="14"/>
        <v>0</v>
      </c>
      <c r="BF141" s="45" t="str">
        <f t="shared" si="15"/>
        <v>#DIV/0!</v>
      </c>
      <c r="BH141" s="45">
        <f t="shared" si="16"/>
        <v>0</v>
      </c>
      <c r="BI141" s="45">
        <f t="shared" si="17"/>
        <v>0</v>
      </c>
      <c r="BJ141" s="45" t="str">
        <f t="shared" si="18"/>
        <v>#DIV/0!</v>
      </c>
    </row>
    <row r="142" ht="15.75" customHeight="1">
      <c r="A142" s="52">
        <v>131.0</v>
      </c>
      <c r="B142" s="110"/>
      <c r="C142" s="110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52">
        <f t="shared" si="1"/>
        <v>0</v>
      </c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52">
        <f t="shared" si="2"/>
        <v>0</v>
      </c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/>
      <c r="AN142" s="113"/>
      <c r="AO142" s="113"/>
      <c r="AP142" s="52">
        <f t="shared" si="3"/>
        <v>0</v>
      </c>
      <c r="AR142" s="45">
        <f t="shared" si="4"/>
        <v>0</v>
      </c>
      <c r="AS142" s="45">
        <f t="shared" si="5"/>
        <v>0</v>
      </c>
      <c r="AT142" s="45" t="str">
        <f t="shared" si="6"/>
        <v>#DIV/0!</v>
      </c>
      <c r="AV142" s="45">
        <f t="shared" si="7"/>
        <v>0</v>
      </c>
      <c r="AW142" s="45">
        <f t="shared" si="8"/>
        <v>0</v>
      </c>
      <c r="AX142" s="45" t="str">
        <f t="shared" si="9"/>
        <v>#DIV/0!</v>
      </c>
      <c r="AZ142" s="45">
        <f t="shared" si="10"/>
        <v>0</v>
      </c>
      <c r="BA142" s="45">
        <f t="shared" si="11"/>
        <v>0</v>
      </c>
      <c r="BB142" s="45" t="str">
        <f t="shared" si="12"/>
        <v>#DIV/0!</v>
      </c>
      <c r="BD142" s="45">
        <f t="shared" si="13"/>
        <v>0</v>
      </c>
      <c r="BE142" s="45">
        <f t="shared" si="14"/>
        <v>0</v>
      </c>
      <c r="BF142" s="45" t="str">
        <f t="shared" si="15"/>
        <v>#DIV/0!</v>
      </c>
      <c r="BH142" s="45">
        <f t="shared" si="16"/>
        <v>0</v>
      </c>
      <c r="BI142" s="45">
        <f t="shared" si="17"/>
        <v>0</v>
      </c>
      <c r="BJ142" s="45" t="str">
        <f t="shared" si="18"/>
        <v>#DIV/0!</v>
      </c>
    </row>
    <row r="143" ht="15.75" customHeight="1">
      <c r="A143" s="52">
        <v>132.0</v>
      </c>
      <c r="B143" s="110"/>
      <c r="C143" s="110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52">
        <f t="shared" si="1"/>
        <v>0</v>
      </c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52">
        <f t="shared" si="2"/>
        <v>0</v>
      </c>
      <c r="AD143" s="113"/>
      <c r="AE143" s="113"/>
      <c r="AF143" s="113"/>
      <c r="AG143" s="113"/>
      <c r="AH143" s="113"/>
      <c r="AI143" s="113"/>
      <c r="AJ143" s="113"/>
      <c r="AK143" s="113"/>
      <c r="AL143" s="113"/>
      <c r="AM143" s="113"/>
      <c r="AN143" s="113"/>
      <c r="AO143" s="113"/>
      <c r="AP143" s="52">
        <f t="shared" si="3"/>
        <v>0</v>
      </c>
      <c r="AR143" s="45">
        <f t="shared" si="4"/>
        <v>0</v>
      </c>
      <c r="AS143" s="45">
        <f t="shared" si="5"/>
        <v>0</v>
      </c>
      <c r="AT143" s="45" t="str">
        <f t="shared" si="6"/>
        <v>#DIV/0!</v>
      </c>
      <c r="AV143" s="45">
        <f t="shared" si="7"/>
        <v>0</v>
      </c>
      <c r="AW143" s="45">
        <f t="shared" si="8"/>
        <v>0</v>
      </c>
      <c r="AX143" s="45" t="str">
        <f t="shared" si="9"/>
        <v>#DIV/0!</v>
      </c>
      <c r="AZ143" s="45">
        <f t="shared" si="10"/>
        <v>0</v>
      </c>
      <c r="BA143" s="45">
        <f t="shared" si="11"/>
        <v>0</v>
      </c>
      <c r="BB143" s="45" t="str">
        <f t="shared" si="12"/>
        <v>#DIV/0!</v>
      </c>
      <c r="BD143" s="45">
        <f t="shared" si="13"/>
        <v>0</v>
      </c>
      <c r="BE143" s="45">
        <f t="shared" si="14"/>
        <v>0</v>
      </c>
      <c r="BF143" s="45" t="str">
        <f t="shared" si="15"/>
        <v>#DIV/0!</v>
      </c>
      <c r="BH143" s="45">
        <f t="shared" si="16"/>
        <v>0</v>
      </c>
      <c r="BI143" s="45">
        <f t="shared" si="17"/>
        <v>0</v>
      </c>
      <c r="BJ143" s="45" t="str">
        <f t="shared" si="18"/>
        <v>#DIV/0!</v>
      </c>
    </row>
    <row r="144" ht="15.75" customHeight="1">
      <c r="A144" s="52">
        <v>133.0</v>
      </c>
      <c r="B144" s="110"/>
      <c r="C144" s="110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52">
        <f t="shared" si="1"/>
        <v>0</v>
      </c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52">
        <f t="shared" si="2"/>
        <v>0</v>
      </c>
      <c r="AD144" s="113"/>
      <c r="AE144" s="113"/>
      <c r="AF144" s="113"/>
      <c r="AG144" s="113"/>
      <c r="AH144" s="113"/>
      <c r="AI144" s="113"/>
      <c r="AJ144" s="113"/>
      <c r="AK144" s="113"/>
      <c r="AL144" s="113"/>
      <c r="AM144" s="113"/>
      <c r="AN144" s="113"/>
      <c r="AO144" s="113"/>
      <c r="AP144" s="52">
        <f t="shared" si="3"/>
        <v>0</v>
      </c>
      <c r="AR144" s="45">
        <f t="shared" si="4"/>
        <v>0</v>
      </c>
      <c r="AS144" s="45">
        <f t="shared" si="5"/>
        <v>0</v>
      </c>
      <c r="AT144" s="45" t="str">
        <f t="shared" si="6"/>
        <v>#DIV/0!</v>
      </c>
      <c r="AV144" s="45">
        <f t="shared" si="7"/>
        <v>0</v>
      </c>
      <c r="AW144" s="45">
        <f t="shared" si="8"/>
        <v>0</v>
      </c>
      <c r="AX144" s="45" t="str">
        <f t="shared" si="9"/>
        <v>#DIV/0!</v>
      </c>
      <c r="AZ144" s="45">
        <f t="shared" si="10"/>
        <v>0</v>
      </c>
      <c r="BA144" s="45">
        <f t="shared" si="11"/>
        <v>0</v>
      </c>
      <c r="BB144" s="45" t="str">
        <f t="shared" si="12"/>
        <v>#DIV/0!</v>
      </c>
      <c r="BD144" s="45">
        <f t="shared" si="13"/>
        <v>0</v>
      </c>
      <c r="BE144" s="45">
        <f t="shared" si="14"/>
        <v>0</v>
      </c>
      <c r="BF144" s="45" t="str">
        <f t="shared" si="15"/>
        <v>#DIV/0!</v>
      </c>
      <c r="BH144" s="45">
        <f t="shared" si="16"/>
        <v>0</v>
      </c>
      <c r="BI144" s="45">
        <f t="shared" si="17"/>
        <v>0</v>
      </c>
      <c r="BJ144" s="45" t="str">
        <f t="shared" si="18"/>
        <v>#DIV/0!</v>
      </c>
    </row>
    <row r="145" ht="15.75" customHeight="1">
      <c r="A145" s="52">
        <v>134.0</v>
      </c>
      <c r="B145" s="110"/>
      <c r="C145" s="110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52">
        <f t="shared" si="1"/>
        <v>0</v>
      </c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52">
        <f t="shared" si="2"/>
        <v>0</v>
      </c>
      <c r="AD145" s="113"/>
      <c r="AE145" s="113"/>
      <c r="AF145" s="113"/>
      <c r="AG145" s="113"/>
      <c r="AH145" s="113"/>
      <c r="AI145" s="113"/>
      <c r="AJ145" s="113"/>
      <c r="AK145" s="113"/>
      <c r="AL145" s="113"/>
      <c r="AM145" s="113"/>
      <c r="AN145" s="113"/>
      <c r="AO145" s="113"/>
      <c r="AP145" s="52">
        <f t="shared" si="3"/>
        <v>0</v>
      </c>
      <c r="AR145" s="45">
        <f t="shared" si="4"/>
        <v>0</v>
      </c>
      <c r="AS145" s="45">
        <f t="shared" si="5"/>
        <v>0</v>
      </c>
      <c r="AT145" s="45" t="str">
        <f t="shared" si="6"/>
        <v>#DIV/0!</v>
      </c>
      <c r="AV145" s="45">
        <f t="shared" si="7"/>
        <v>0</v>
      </c>
      <c r="AW145" s="45">
        <f t="shared" si="8"/>
        <v>0</v>
      </c>
      <c r="AX145" s="45" t="str">
        <f t="shared" si="9"/>
        <v>#DIV/0!</v>
      </c>
      <c r="AZ145" s="45">
        <f t="shared" si="10"/>
        <v>0</v>
      </c>
      <c r="BA145" s="45">
        <f t="shared" si="11"/>
        <v>0</v>
      </c>
      <c r="BB145" s="45" t="str">
        <f t="shared" si="12"/>
        <v>#DIV/0!</v>
      </c>
      <c r="BD145" s="45">
        <f t="shared" si="13"/>
        <v>0</v>
      </c>
      <c r="BE145" s="45">
        <f t="shared" si="14"/>
        <v>0</v>
      </c>
      <c r="BF145" s="45" t="str">
        <f t="shared" si="15"/>
        <v>#DIV/0!</v>
      </c>
      <c r="BH145" s="45">
        <f t="shared" si="16"/>
        <v>0</v>
      </c>
      <c r="BI145" s="45">
        <f t="shared" si="17"/>
        <v>0</v>
      </c>
      <c r="BJ145" s="45" t="str">
        <f t="shared" si="18"/>
        <v>#DIV/0!</v>
      </c>
    </row>
    <row r="146" ht="15.75" customHeight="1">
      <c r="A146" s="52">
        <v>135.0</v>
      </c>
      <c r="B146" s="110"/>
      <c r="C146" s="110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52">
        <f t="shared" si="1"/>
        <v>0</v>
      </c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52">
        <f t="shared" si="2"/>
        <v>0</v>
      </c>
      <c r="AD146" s="113"/>
      <c r="AE146" s="113"/>
      <c r="AF146" s="113"/>
      <c r="AG146" s="113"/>
      <c r="AH146" s="113"/>
      <c r="AI146" s="113"/>
      <c r="AJ146" s="113"/>
      <c r="AK146" s="113"/>
      <c r="AL146" s="113"/>
      <c r="AM146" s="113"/>
      <c r="AN146" s="113"/>
      <c r="AO146" s="113"/>
      <c r="AP146" s="52">
        <f t="shared" si="3"/>
        <v>0</v>
      </c>
      <c r="AR146" s="45">
        <f t="shared" si="4"/>
        <v>0</v>
      </c>
      <c r="AS146" s="45">
        <f t="shared" si="5"/>
        <v>0</v>
      </c>
      <c r="AT146" s="45" t="str">
        <f t="shared" si="6"/>
        <v>#DIV/0!</v>
      </c>
      <c r="AV146" s="45">
        <f t="shared" si="7"/>
        <v>0</v>
      </c>
      <c r="AW146" s="45">
        <f t="shared" si="8"/>
        <v>0</v>
      </c>
      <c r="AX146" s="45" t="str">
        <f t="shared" si="9"/>
        <v>#DIV/0!</v>
      </c>
      <c r="AZ146" s="45">
        <f t="shared" si="10"/>
        <v>0</v>
      </c>
      <c r="BA146" s="45">
        <f t="shared" si="11"/>
        <v>0</v>
      </c>
      <c r="BB146" s="45" t="str">
        <f t="shared" si="12"/>
        <v>#DIV/0!</v>
      </c>
      <c r="BD146" s="45">
        <f t="shared" si="13"/>
        <v>0</v>
      </c>
      <c r="BE146" s="45">
        <f t="shared" si="14"/>
        <v>0</v>
      </c>
      <c r="BF146" s="45" t="str">
        <f t="shared" si="15"/>
        <v>#DIV/0!</v>
      </c>
      <c r="BH146" s="45">
        <f t="shared" si="16"/>
        <v>0</v>
      </c>
      <c r="BI146" s="45">
        <f t="shared" si="17"/>
        <v>0</v>
      </c>
      <c r="BJ146" s="45" t="str">
        <f t="shared" si="18"/>
        <v>#DIV/0!</v>
      </c>
    </row>
    <row r="147" ht="15.75" customHeight="1">
      <c r="A147" s="52">
        <v>136.0</v>
      </c>
      <c r="B147" s="110"/>
      <c r="C147" s="110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52">
        <f t="shared" si="1"/>
        <v>0</v>
      </c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52">
        <f t="shared" si="2"/>
        <v>0</v>
      </c>
      <c r="AD147" s="113"/>
      <c r="AE147" s="113"/>
      <c r="AF147" s="113"/>
      <c r="AG147" s="113"/>
      <c r="AH147" s="113"/>
      <c r="AI147" s="113"/>
      <c r="AJ147" s="113"/>
      <c r="AK147" s="113"/>
      <c r="AL147" s="113"/>
      <c r="AM147" s="113"/>
      <c r="AN147" s="113"/>
      <c r="AO147" s="113"/>
      <c r="AP147" s="52">
        <f t="shared" si="3"/>
        <v>0</v>
      </c>
      <c r="AR147" s="45">
        <f t="shared" si="4"/>
        <v>0</v>
      </c>
      <c r="AS147" s="45">
        <f t="shared" si="5"/>
        <v>0</v>
      </c>
      <c r="AT147" s="45" t="str">
        <f t="shared" si="6"/>
        <v>#DIV/0!</v>
      </c>
      <c r="AV147" s="45">
        <f t="shared" si="7"/>
        <v>0</v>
      </c>
      <c r="AW147" s="45">
        <f t="shared" si="8"/>
        <v>0</v>
      </c>
      <c r="AX147" s="45" t="str">
        <f t="shared" si="9"/>
        <v>#DIV/0!</v>
      </c>
      <c r="AZ147" s="45">
        <f t="shared" si="10"/>
        <v>0</v>
      </c>
      <c r="BA147" s="45">
        <f t="shared" si="11"/>
        <v>0</v>
      </c>
      <c r="BB147" s="45" t="str">
        <f t="shared" si="12"/>
        <v>#DIV/0!</v>
      </c>
      <c r="BD147" s="45">
        <f t="shared" si="13"/>
        <v>0</v>
      </c>
      <c r="BE147" s="45">
        <f t="shared" si="14"/>
        <v>0</v>
      </c>
      <c r="BF147" s="45" t="str">
        <f t="shared" si="15"/>
        <v>#DIV/0!</v>
      </c>
      <c r="BH147" s="45">
        <f t="shared" si="16"/>
        <v>0</v>
      </c>
      <c r="BI147" s="45">
        <f t="shared" si="17"/>
        <v>0</v>
      </c>
      <c r="BJ147" s="45" t="str">
        <f t="shared" si="18"/>
        <v>#DIV/0!</v>
      </c>
    </row>
    <row r="148" ht="15.75" customHeight="1">
      <c r="A148" s="52">
        <v>137.0</v>
      </c>
      <c r="B148" s="110"/>
      <c r="C148" s="110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52">
        <f t="shared" si="1"/>
        <v>0</v>
      </c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52">
        <f t="shared" si="2"/>
        <v>0</v>
      </c>
      <c r="AD148" s="113"/>
      <c r="AE148" s="113"/>
      <c r="AF148" s="113"/>
      <c r="AG148" s="113"/>
      <c r="AH148" s="113"/>
      <c r="AI148" s="113"/>
      <c r="AJ148" s="113"/>
      <c r="AK148" s="113"/>
      <c r="AL148" s="113"/>
      <c r="AM148" s="113"/>
      <c r="AN148" s="113"/>
      <c r="AO148" s="113"/>
      <c r="AP148" s="52">
        <f t="shared" si="3"/>
        <v>0</v>
      </c>
      <c r="AR148" s="45">
        <f t="shared" si="4"/>
        <v>0</v>
      </c>
      <c r="AS148" s="45">
        <f t="shared" si="5"/>
        <v>0</v>
      </c>
      <c r="AT148" s="45" t="str">
        <f t="shared" si="6"/>
        <v>#DIV/0!</v>
      </c>
      <c r="AV148" s="45">
        <f t="shared" si="7"/>
        <v>0</v>
      </c>
      <c r="AW148" s="45">
        <f t="shared" si="8"/>
        <v>0</v>
      </c>
      <c r="AX148" s="45" t="str">
        <f t="shared" si="9"/>
        <v>#DIV/0!</v>
      </c>
      <c r="AZ148" s="45">
        <f t="shared" si="10"/>
        <v>0</v>
      </c>
      <c r="BA148" s="45">
        <f t="shared" si="11"/>
        <v>0</v>
      </c>
      <c r="BB148" s="45" t="str">
        <f t="shared" si="12"/>
        <v>#DIV/0!</v>
      </c>
      <c r="BD148" s="45">
        <f t="shared" si="13"/>
        <v>0</v>
      </c>
      <c r="BE148" s="45">
        <f t="shared" si="14"/>
        <v>0</v>
      </c>
      <c r="BF148" s="45" t="str">
        <f t="shared" si="15"/>
        <v>#DIV/0!</v>
      </c>
      <c r="BH148" s="45">
        <f t="shared" si="16"/>
        <v>0</v>
      </c>
      <c r="BI148" s="45">
        <f t="shared" si="17"/>
        <v>0</v>
      </c>
      <c r="BJ148" s="45" t="str">
        <f t="shared" si="18"/>
        <v>#DIV/0!</v>
      </c>
    </row>
    <row r="149" ht="15.75" customHeight="1">
      <c r="A149" s="52">
        <v>138.0</v>
      </c>
      <c r="B149" s="110"/>
      <c r="C149" s="110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52">
        <f t="shared" si="1"/>
        <v>0</v>
      </c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52">
        <f t="shared" si="2"/>
        <v>0</v>
      </c>
      <c r="AD149" s="113"/>
      <c r="AE149" s="113"/>
      <c r="AF149" s="113"/>
      <c r="AG149" s="113"/>
      <c r="AH149" s="113"/>
      <c r="AI149" s="113"/>
      <c r="AJ149" s="113"/>
      <c r="AK149" s="113"/>
      <c r="AL149" s="113"/>
      <c r="AM149" s="113"/>
      <c r="AN149" s="113"/>
      <c r="AO149" s="113"/>
      <c r="AP149" s="52">
        <f t="shared" si="3"/>
        <v>0</v>
      </c>
      <c r="AR149" s="45">
        <f t="shared" si="4"/>
        <v>0</v>
      </c>
      <c r="AS149" s="45">
        <f t="shared" si="5"/>
        <v>0</v>
      </c>
      <c r="AT149" s="45" t="str">
        <f t="shared" si="6"/>
        <v>#DIV/0!</v>
      </c>
      <c r="AV149" s="45">
        <f t="shared" si="7"/>
        <v>0</v>
      </c>
      <c r="AW149" s="45">
        <f t="shared" si="8"/>
        <v>0</v>
      </c>
      <c r="AX149" s="45" t="str">
        <f t="shared" si="9"/>
        <v>#DIV/0!</v>
      </c>
      <c r="AZ149" s="45">
        <f t="shared" si="10"/>
        <v>0</v>
      </c>
      <c r="BA149" s="45">
        <f t="shared" si="11"/>
        <v>0</v>
      </c>
      <c r="BB149" s="45" t="str">
        <f t="shared" si="12"/>
        <v>#DIV/0!</v>
      </c>
      <c r="BD149" s="45">
        <f t="shared" si="13"/>
        <v>0</v>
      </c>
      <c r="BE149" s="45">
        <f t="shared" si="14"/>
        <v>0</v>
      </c>
      <c r="BF149" s="45" t="str">
        <f t="shared" si="15"/>
        <v>#DIV/0!</v>
      </c>
      <c r="BH149" s="45">
        <f t="shared" si="16"/>
        <v>0</v>
      </c>
      <c r="BI149" s="45">
        <f t="shared" si="17"/>
        <v>0</v>
      </c>
      <c r="BJ149" s="45" t="str">
        <f t="shared" si="18"/>
        <v>#DIV/0!</v>
      </c>
    </row>
    <row r="150" ht="15.75" customHeight="1">
      <c r="A150" s="52">
        <v>139.0</v>
      </c>
      <c r="B150" s="110"/>
      <c r="C150" s="110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52">
        <f t="shared" si="1"/>
        <v>0</v>
      </c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52">
        <f t="shared" si="2"/>
        <v>0</v>
      </c>
      <c r="AD150" s="113"/>
      <c r="AE150" s="113"/>
      <c r="AF150" s="113"/>
      <c r="AG150" s="113"/>
      <c r="AH150" s="113"/>
      <c r="AI150" s="113"/>
      <c r="AJ150" s="113"/>
      <c r="AK150" s="113"/>
      <c r="AL150" s="113"/>
      <c r="AM150" s="113"/>
      <c r="AN150" s="113"/>
      <c r="AO150" s="113"/>
      <c r="AP150" s="52">
        <f t="shared" si="3"/>
        <v>0</v>
      </c>
      <c r="AR150" s="45">
        <f t="shared" si="4"/>
        <v>0</v>
      </c>
      <c r="AS150" s="45">
        <f t="shared" si="5"/>
        <v>0</v>
      </c>
      <c r="AT150" s="45" t="str">
        <f t="shared" si="6"/>
        <v>#DIV/0!</v>
      </c>
      <c r="AV150" s="45">
        <f t="shared" si="7"/>
        <v>0</v>
      </c>
      <c r="AW150" s="45">
        <f t="shared" si="8"/>
        <v>0</v>
      </c>
      <c r="AX150" s="45" t="str">
        <f t="shared" si="9"/>
        <v>#DIV/0!</v>
      </c>
      <c r="AZ150" s="45">
        <f t="shared" si="10"/>
        <v>0</v>
      </c>
      <c r="BA150" s="45">
        <f t="shared" si="11"/>
        <v>0</v>
      </c>
      <c r="BB150" s="45" t="str">
        <f t="shared" si="12"/>
        <v>#DIV/0!</v>
      </c>
      <c r="BD150" s="45">
        <f t="shared" si="13"/>
        <v>0</v>
      </c>
      <c r="BE150" s="45">
        <f t="shared" si="14"/>
        <v>0</v>
      </c>
      <c r="BF150" s="45" t="str">
        <f t="shared" si="15"/>
        <v>#DIV/0!</v>
      </c>
      <c r="BH150" s="45">
        <f t="shared" si="16"/>
        <v>0</v>
      </c>
      <c r="BI150" s="45">
        <f t="shared" si="17"/>
        <v>0</v>
      </c>
      <c r="BJ150" s="45" t="str">
        <f t="shared" si="18"/>
        <v>#DIV/0!</v>
      </c>
    </row>
    <row r="151" ht="15.75" customHeight="1">
      <c r="A151" s="52">
        <v>140.0</v>
      </c>
      <c r="B151" s="110"/>
      <c r="C151" s="110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52">
        <f t="shared" si="1"/>
        <v>0</v>
      </c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52">
        <f t="shared" si="2"/>
        <v>0</v>
      </c>
      <c r="AD151" s="113"/>
      <c r="AE151" s="113"/>
      <c r="AF151" s="113"/>
      <c r="AG151" s="113"/>
      <c r="AH151" s="113"/>
      <c r="AI151" s="113"/>
      <c r="AJ151" s="113"/>
      <c r="AK151" s="113"/>
      <c r="AL151" s="113"/>
      <c r="AM151" s="113"/>
      <c r="AN151" s="113"/>
      <c r="AO151" s="113"/>
      <c r="AP151" s="52">
        <f t="shared" si="3"/>
        <v>0</v>
      </c>
      <c r="AR151" s="45">
        <f t="shared" si="4"/>
        <v>0</v>
      </c>
      <c r="AS151" s="45">
        <f t="shared" si="5"/>
        <v>0</v>
      </c>
      <c r="AT151" s="45" t="str">
        <f t="shared" si="6"/>
        <v>#DIV/0!</v>
      </c>
      <c r="AV151" s="45">
        <f t="shared" si="7"/>
        <v>0</v>
      </c>
      <c r="AW151" s="45">
        <f t="shared" si="8"/>
        <v>0</v>
      </c>
      <c r="AX151" s="45" t="str">
        <f t="shared" si="9"/>
        <v>#DIV/0!</v>
      </c>
      <c r="AZ151" s="45">
        <f t="shared" si="10"/>
        <v>0</v>
      </c>
      <c r="BA151" s="45">
        <f t="shared" si="11"/>
        <v>0</v>
      </c>
      <c r="BB151" s="45" t="str">
        <f t="shared" si="12"/>
        <v>#DIV/0!</v>
      </c>
      <c r="BD151" s="45">
        <f t="shared" si="13"/>
        <v>0</v>
      </c>
      <c r="BE151" s="45">
        <f t="shared" si="14"/>
        <v>0</v>
      </c>
      <c r="BF151" s="45" t="str">
        <f t="shared" si="15"/>
        <v>#DIV/0!</v>
      </c>
      <c r="BH151" s="45">
        <f t="shared" si="16"/>
        <v>0</v>
      </c>
      <c r="BI151" s="45">
        <f t="shared" si="17"/>
        <v>0</v>
      </c>
      <c r="BJ151" s="45" t="str">
        <f t="shared" si="18"/>
        <v>#DIV/0!</v>
      </c>
    </row>
    <row r="152" ht="15.75" customHeight="1">
      <c r="A152" s="52">
        <v>141.0</v>
      </c>
      <c r="B152" s="110"/>
      <c r="C152" s="110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52">
        <f t="shared" si="1"/>
        <v>0</v>
      </c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52">
        <f t="shared" si="2"/>
        <v>0</v>
      </c>
      <c r="AD152" s="113"/>
      <c r="AE152" s="113"/>
      <c r="AF152" s="113"/>
      <c r="AG152" s="113"/>
      <c r="AH152" s="113"/>
      <c r="AI152" s="113"/>
      <c r="AJ152" s="113"/>
      <c r="AK152" s="113"/>
      <c r="AL152" s="113"/>
      <c r="AM152" s="113"/>
      <c r="AN152" s="113"/>
      <c r="AO152" s="113"/>
      <c r="AP152" s="52">
        <f t="shared" si="3"/>
        <v>0</v>
      </c>
      <c r="AR152" s="45">
        <f t="shared" si="4"/>
        <v>0</v>
      </c>
      <c r="AS152" s="45">
        <f t="shared" si="5"/>
        <v>0</v>
      </c>
      <c r="AT152" s="45" t="str">
        <f t="shared" si="6"/>
        <v>#DIV/0!</v>
      </c>
      <c r="AV152" s="45">
        <f t="shared" si="7"/>
        <v>0</v>
      </c>
      <c r="AW152" s="45">
        <f t="shared" si="8"/>
        <v>0</v>
      </c>
      <c r="AX152" s="45" t="str">
        <f t="shared" si="9"/>
        <v>#DIV/0!</v>
      </c>
      <c r="AZ152" s="45">
        <f t="shared" si="10"/>
        <v>0</v>
      </c>
      <c r="BA152" s="45">
        <f t="shared" si="11"/>
        <v>0</v>
      </c>
      <c r="BB152" s="45" t="str">
        <f t="shared" si="12"/>
        <v>#DIV/0!</v>
      </c>
      <c r="BD152" s="45">
        <f t="shared" si="13"/>
        <v>0</v>
      </c>
      <c r="BE152" s="45">
        <f t="shared" si="14"/>
        <v>0</v>
      </c>
      <c r="BF152" s="45" t="str">
        <f t="shared" si="15"/>
        <v>#DIV/0!</v>
      </c>
      <c r="BH152" s="45">
        <f t="shared" si="16"/>
        <v>0</v>
      </c>
      <c r="BI152" s="45">
        <f t="shared" si="17"/>
        <v>0</v>
      </c>
      <c r="BJ152" s="45" t="str">
        <f t="shared" si="18"/>
        <v>#DIV/0!</v>
      </c>
    </row>
    <row r="153" ht="15.75" customHeight="1">
      <c r="A153" s="52">
        <v>142.0</v>
      </c>
      <c r="B153" s="110"/>
      <c r="C153" s="110"/>
      <c r="D153" s="114"/>
      <c r="E153" s="114"/>
      <c r="F153" s="114"/>
      <c r="G153" s="45"/>
      <c r="H153" s="45"/>
      <c r="I153" s="45"/>
      <c r="J153" s="45"/>
      <c r="K153" s="45"/>
      <c r="L153" s="45"/>
      <c r="M153" s="114"/>
      <c r="N153" s="114"/>
      <c r="O153" s="114"/>
      <c r="P153" s="52">
        <f t="shared" si="1"/>
        <v>0</v>
      </c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52">
        <f t="shared" si="2"/>
        <v>0</v>
      </c>
      <c r="AD153" s="113"/>
      <c r="AE153" s="113"/>
      <c r="AF153" s="113"/>
      <c r="AG153" s="113"/>
      <c r="AH153" s="113"/>
      <c r="AI153" s="113"/>
      <c r="AJ153" s="113"/>
      <c r="AK153" s="113"/>
      <c r="AL153" s="113"/>
      <c r="AM153" s="113"/>
      <c r="AN153" s="113"/>
      <c r="AO153" s="113"/>
      <c r="AP153" s="52">
        <f t="shared" si="3"/>
        <v>0</v>
      </c>
      <c r="AR153" s="45">
        <f t="shared" si="4"/>
        <v>0</v>
      </c>
      <c r="AS153" s="45">
        <f t="shared" si="5"/>
        <v>0</v>
      </c>
      <c r="AT153" s="45" t="str">
        <f t="shared" si="6"/>
        <v>#DIV/0!</v>
      </c>
      <c r="AV153" s="45">
        <f t="shared" si="7"/>
        <v>0</v>
      </c>
      <c r="AW153" s="45">
        <f t="shared" si="8"/>
        <v>0</v>
      </c>
      <c r="AX153" s="45" t="str">
        <f t="shared" si="9"/>
        <v>#DIV/0!</v>
      </c>
      <c r="AZ153" s="45">
        <f t="shared" si="10"/>
        <v>0</v>
      </c>
      <c r="BA153" s="45">
        <f t="shared" si="11"/>
        <v>0</v>
      </c>
      <c r="BB153" s="45" t="str">
        <f t="shared" si="12"/>
        <v>#DIV/0!</v>
      </c>
      <c r="BD153" s="45">
        <f t="shared" si="13"/>
        <v>0</v>
      </c>
      <c r="BE153" s="45">
        <f t="shared" si="14"/>
        <v>0</v>
      </c>
      <c r="BF153" s="45" t="str">
        <f t="shared" si="15"/>
        <v>#DIV/0!</v>
      </c>
      <c r="BH153" s="45">
        <f t="shared" si="16"/>
        <v>0</v>
      </c>
      <c r="BI153" s="45">
        <f t="shared" si="17"/>
        <v>0</v>
      </c>
      <c r="BJ153" s="45" t="str">
        <f t="shared" si="18"/>
        <v>#DIV/0!</v>
      </c>
    </row>
    <row r="154" ht="15.75" customHeight="1">
      <c r="A154" s="52">
        <v>143.0</v>
      </c>
      <c r="B154" s="110"/>
      <c r="C154" s="110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52">
        <f t="shared" si="1"/>
        <v>0</v>
      </c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52">
        <f t="shared" si="2"/>
        <v>0</v>
      </c>
      <c r="AD154" s="113"/>
      <c r="AE154" s="113"/>
      <c r="AF154" s="113"/>
      <c r="AG154" s="113"/>
      <c r="AH154" s="113"/>
      <c r="AI154" s="113"/>
      <c r="AJ154" s="113"/>
      <c r="AK154" s="113"/>
      <c r="AL154" s="113"/>
      <c r="AM154" s="113"/>
      <c r="AN154" s="113"/>
      <c r="AO154" s="113"/>
      <c r="AP154" s="52">
        <f t="shared" si="3"/>
        <v>0</v>
      </c>
      <c r="AR154" s="45">
        <f t="shared" si="4"/>
        <v>0</v>
      </c>
      <c r="AS154" s="45">
        <f t="shared" si="5"/>
        <v>0</v>
      </c>
      <c r="AT154" s="45" t="str">
        <f t="shared" si="6"/>
        <v>#DIV/0!</v>
      </c>
      <c r="AV154" s="45">
        <f t="shared" si="7"/>
        <v>0</v>
      </c>
      <c r="AW154" s="45">
        <f t="shared" si="8"/>
        <v>0</v>
      </c>
      <c r="AX154" s="45" t="str">
        <f t="shared" si="9"/>
        <v>#DIV/0!</v>
      </c>
      <c r="AZ154" s="45">
        <f t="shared" si="10"/>
        <v>0</v>
      </c>
      <c r="BA154" s="45">
        <f t="shared" si="11"/>
        <v>0</v>
      </c>
      <c r="BB154" s="45" t="str">
        <f t="shared" si="12"/>
        <v>#DIV/0!</v>
      </c>
      <c r="BD154" s="45">
        <f t="shared" si="13"/>
        <v>0</v>
      </c>
      <c r="BE154" s="45">
        <f t="shared" si="14"/>
        <v>0</v>
      </c>
      <c r="BF154" s="45" t="str">
        <f t="shared" si="15"/>
        <v>#DIV/0!</v>
      </c>
      <c r="BH154" s="45">
        <f t="shared" si="16"/>
        <v>0</v>
      </c>
      <c r="BI154" s="45">
        <f t="shared" si="17"/>
        <v>0</v>
      </c>
      <c r="BJ154" s="45" t="str">
        <f t="shared" si="18"/>
        <v>#DIV/0!</v>
      </c>
    </row>
    <row r="155" ht="15.75" customHeight="1">
      <c r="A155" s="52">
        <v>144.0</v>
      </c>
      <c r="B155" s="110"/>
      <c r="C155" s="110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52">
        <f t="shared" si="1"/>
        <v>0</v>
      </c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52">
        <f t="shared" si="2"/>
        <v>0</v>
      </c>
      <c r="AD155" s="113"/>
      <c r="AE155" s="113"/>
      <c r="AF155" s="113"/>
      <c r="AG155" s="113"/>
      <c r="AH155" s="113"/>
      <c r="AI155" s="113"/>
      <c r="AJ155" s="113"/>
      <c r="AK155" s="113"/>
      <c r="AL155" s="113"/>
      <c r="AM155" s="113"/>
      <c r="AN155" s="113"/>
      <c r="AO155" s="113"/>
      <c r="AP155" s="52">
        <f t="shared" si="3"/>
        <v>0</v>
      </c>
      <c r="AR155" s="45">
        <f t="shared" si="4"/>
        <v>0</v>
      </c>
      <c r="AS155" s="45">
        <f t="shared" si="5"/>
        <v>0</v>
      </c>
      <c r="AT155" s="45" t="str">
        <f t="shared" si="6"/>
        <v>#DIV/0!</v>
      </c>
      <c r="AV155" s="45">
        <f t="shared" si="7"/>
        <v>0</v>
      </c>
      <c r="AW155" s="45">
        <f t="shared" si="8"/>
        <v>0</v>
      </c>
      <c r="AX155" s="45" t="str">
        <f t="shared" si="9"/>
        <v>#DIV/0!</v>
      </c>
      <c r="AZ155" s="45">
        <f t="shared" si="10"/>
        <v>0</v>
      </c>
      <c r="BA155" s="45">
        <f t="shared" si="11"/>
        <v>0</v>
      </c>
      <c r="BB155" s="45" t="str">
        <f t="shared" si="12"/>
        <v>#DIV/0!</v>
      </c>
      <c r="BD155" s="45">
        <f t="shared" si="13"/>
        <v>0</v>
      </c>
      <c r="BE155" s="45">
        <f t="shared" si="14"/>
        <v>0</v>
      </c>
      <c r="BF155" s="45" t="str">
        <f t="shared" si="15"/>
        <v>#DIV/0!</v>
      </c>
      <c r="BH155" s="45">
        <f t="shared" si="16"/>
        <v>0</v>
      </c>
      <c r="BI155" s="45">
        <f t="shared" si="17"/>
        <v>0</v>
      </c>
      <c r="BJ155" s="45" t="str">
        <f t="shared" si="18"/>
        <v>#DIV/0!</v>
      </c>
    </row>
    <row r="156" ht="15.75" customHeight="1">
      <c r="A156" s="52">
        <v>145.0</v>
      </c>
      <c r="B156" s="110"/>
      <c r="C156" s="110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52">
        <f t="shared" si="1"/>
        <v>0</v>
      </c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52">
        <f t="shared" si="2"/>
        <v>0</v>
      </c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52">
        <f t="shared" si="3"/>
        <v>0</v>
      </c>
      <c r="AR156" s="45">
        <f t="shared" si="4"/>
        <v>0</v>
      </c>
      <c r="AS156" s="45">
        <f t="shared" si="5"/>
        <v>0</v>
      </c>
      <c r="AT156" s="45" t="str">
        <f t="shared" si="6"/>
        <v>#DIV/0!</v>
      </c>
      <c r="AV156" s="45">
        <f t="shared" si="7"/>
        <v>0</v>
      </c>
      <c r="AW156" s="45">
        <f t="shared" si="8"/>
        <v>0</v>
      </c>
      <c r="AX156" s="45" t="str">
        <f t="shared" si="9"/>
        <v>#DIV/0!</v>
      </c>
      <c r="AZ156" s="45">
        <f t="shared" si="10"/>
        <v>0</v>
      </c>
      <c r="BA156" s="45">
        <f t="shared" si="11"/>
        <v>0</v>
      </c>
      <c r="BB156" s="45" t="str">
        <f t="shared" si="12"/>
        <v>#DIV/0!</v>
      </c>
      <c r="BD156" s="45">
        <f t="shared" si="13"/>
        <v>0</v>
      </c>
      <c r="BE156" s="45">
        <f t="shared" si="14"/>
        <v>0</v>
      </c>
      <c r="BF156" s="45" t="str">
        <f t="shared" si="15"/>
        <v>#DIV/0!</v>
      </c>
      <c r="BH156" s="45">
        <f t="shared" si="16"/>
        <v>0</v>
      </c>
      <c r="BI156" s="45">
        <f t="shared" si="17"/>
        <v>0</v>
      </c>
      <c r="BJ156" s="45" t="str">
        <f t="shared" si="18"/>
        <v>#DIV/0!</v>
      </c>
    </row>
    <row r="157" ht="15.75" customHeight="1">
      <c r="A157" s="52">
        <v>146.0</v>
      </c>
      <c r="B157" s="110"/>
      <c r="C157" s="110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52">
        <f t="shared" si="1"/>
        <v>0</v>
      </c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52">
        <f t="shared" si="2"/>
        <v>0</v>
      </c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  <c r="AN157" s="113"/>
      <c r="AO157" s="113"/>
      <c r="AP157" s="52">
        <f t="shared" si="3"/>
        <v>0</v>
      </c>
      <c r="AR157" s="45">
        <f t="shared" si="4"/>
        <v>0</v>
      </c>
      <c r="AS157" s="45">
        <f t="shared" si="5"/>
        <v>0</v>
      </c>
      <c r="AT157" s="45" t="str">
        <f t="shared" si="6"/>
        <v>#DIV/0!</v>
      </c>
      <c r="AV157" s="45">
        <f t="shared" si="7"/>
        <v>0</v>
      </c>
      <c r="AW157" s="45">
        <f t="shared" si="8"/>
        <v>0</v>
      </c>
      <c r="AX157" s="45" t="str">
        <f t="shared" si="9"/>
        <v>#DIV/0!</v>
      </c>
      <c r="AZ157" s="45">
        <f t="shared" si="10"/>
        <v>0</v>
      </c>
      <c r="BA157" s="45">
        <f t="shared" si="11"/>
        <v>0</v>
      </c>
      <c r="BB157" s="45" t="str">
        <f t="shared" si="12"/>
        <v>#DIV/0!</v>
      </c>
      <c r="BD157" s="45">
        <f t="shared" si="13"/>
        <v>0</v>
      </c>
      <c r="BE157" s="45">
        <f t="shared" si="14"/>
        <v>0</v>
      </c>
      <c r="BF157" s="45" t="str">
        <f t="shared" si="15"/>
        <v>#DIV/0!</v>
      </c>
      <c r="BH157" s="45">
        <f t="shared" si="16"/>
        <v>0</v>
      </c>
      <c r="BI157" s="45">
        <f t="shared" si="17"/>
        <v>0</v>
      </c>
      <c r="BJ157" s="45" t="str">
        <f t="shared" si="18"/>
        <v>#DIV/0!</v>
      </c>
    </row>
    <row r="158" ht="15.75" customHeight="1">
      <c r="A158" s="52">
        <v>147.0</v>
      </c>
      <c r="B158" s="110"/>
      <c r="C158" s="110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52">
        <f t="shared" si="1"/>
        <v>0</v>
      </c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52">
        <f t="shared" si="2"/>
        <v>0</v>
      </c>
      <c r="AD158" s="113"/>
      <c r="AE158" s="113"/>
      <c r="AF158" s="113"/>
      <c r="AG158" s="113"/>
      <c r="AH158" s="113"/>
      <c r="AI158" s="113"/>
      <c r="AJ158" s="113"/>
      <c r="AK158" s="113"/>
      <c r="AL158" s="113"/>
      <c r="AM158" s="113"/>
      <c r="AN158" s="113"/>
      <c r="AO158" s="113"/>
      <c r="AP158" s="52">
        <f t="shared" si="3"/>
        <v>0</v>
      </c>
      <c r="AR158" s="45">
        <f t="shared" si="4"/>
        <v>0</v>
      </c>
      <c r="AS158" s="45">
        <f t="shared" si="5"/>
        <v>0</v>
      </c>
      <c r="AT158" s="45" t="str">
        <f t="shared" si="6"/>
        <v>#DIV/0!</v>
      </c>
      <c r="AV158" s="45">
        <f t="shared" si="7"/>
        <v>0</v>
      </c>
      <c r="AW158" s="45">
        <f t="shared" si="8"/>
        <v>0</v>
      </c>
      <c r="AX158" s="45" t="str">
        <f t="shared" si="9"/>
        <v>#DIV/0!</v>
      </c>
      <c r="AZ158" s="45">
        <f t="shared" si="10"/>
        <v>0</v>
      </c>
      <c r="BA158" s="45">
        <f t="shared" si="11"/>
        <v>0</v>
      </c>
      <c r="BB158" s="45" t="str">
        <f t="shared" si="12"/>
        <v>#DIV/0!</v>
      </c>
      <c r="BD158" s="45">
        <f t="shared" si="13"/>
        <v>0</v>
      </c>
      <c r="BE158" s="45">
        <f t="shared" si="14"/>
        <v>0</v>
      </c>
      <c r="BF158" s="45" t="str">
        <f t="shared" si="15"/>
        <v>#DIV/0!</v>
      </c>
      <c r="BH158" s="45">
        <f t="shared" si="16"/>
        <v>0</v>
      </c>
      <c r="BI158" s="45">
        <f t="shared" si="17"/>
        <v>0</v>
      </c>
      <c r="BJ158" s="45" t="str">
        <f t="shared" si="18"/>
        <v>#DIV/0!</v>
      </c>
    </row>
    <row r="159" ht="15.75" customHeight="1">
      <c r="A159" s="52">
        <v>148.0</v>
      </c>
      <c r="B159" s="110"/>
      <c r="C159" s="110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52">
        <f t="shared" si="1"/>
        <v>0</v>
      </c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52">
        <f t="shared" si="2"/>
        <v>0</v>
      </c>
      <c r="AD159" s="113"/>
      <c r="AE159" s="113"/>
      <c r="AF159" s="113"/>
      <c r="AG159" s="113"/>
      <c r="AH159" s="113"/>
      <c r="AI159" s="113"/>
      <c r="AJ159" s="113"/>
      <c r="AK159" s="113"/>
      <c r="AL159" s="113"/>
      <c r="AM159" s="113"/>
      <c r="AN159" s="113"/>
      <c r="AO159" s="113"/>
      <c r="AP159" s="52">
        <f t="shared" si="3"/>
        <v>0</v>
      </c>
      <c r="AR159" s="45">
        <f t="shared" si="4"/>
        <v>0</v>
      </c>
      <c r="AS159" s="45">
        <f t="shared" si="5"/>
        <v>0</v>
      </c>
      <c r="AT159" s="45" t="str">
        <f t="shared" si="6"/>
        <v>#DIV/0!</v>
      </c>
      <c r="AV159" s="45">
        <f t="shared" si="7"/>
        <v>0</v>
      </c>
      <c r="AW159" s="45">
        <f t="shared" si="8"/>
        <v>0</v>
      </c>
      <c r="AX159" s="45" t="str">
        <f t="shared" si="9"/>
        <v>#DIV/0!</v>
      </c>
      <c r="AZ159" s="45">
        <f t="shared" si="10"/>
        <v>0</v>
      </c>
      <c r="BA159" s="45">
        <f t="shared" si="11"/>
        <v>0</v>
      </c>
      <c r="BB159" s="45" t="str">
        <f t="shared" si="12"/>
        <v>#DIV/0!</v>
      </c>
      <c r="BD159" s="45">
        <f t="shared" si="13"/>
        <v>0</v>
      </c>
      <c r="BE159" s="45">
        <f t="shared" si="14"/>
        <v>0</v>
      </c>
      <c r="BF159" s="45" t="str">
        <f t="shared" si="15"/>
        <v>#DIV/0!</v>
      </c>
      <c r="BH159" s="45">
        <f t="shared" si="16"/>
        <v>0</v>
      </c>
      <c r="BI159" s="45">
        <f t="shared" si="17"/>
        <v>0</v>
      </c>
      <c r="BJ159" s="45" t="str">
        <f t="shared" si="18"/>
        <v>#DIV/0!</v>
      </c>
    </row>
    <row r="160" ht="15.75" customHeight="1">
      <c r="A160" s="52">
        <v>149.0</v>
      </c>
      <c r="B160" s="110"/>
      <c r="C160" s="110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52">
        <f t="shared" si="1"/>
        <v>0</v>
      </c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52">
        <f t="shared" si="2"/>
        <v>0</v>
      </c>
      <c r="AD160" s="113"/>
      <c r="AE160" s="113"/>
      <c r="AF160" s="113"/>
      <c r="AG160" s="113"/>
      <c r="AH160" s="113"/>
      <c r="AI160" s="113"/>
      <c r="AJ160" s="113"/>
      <c r="AK160" s="113"/>
      <c r="AL160" s="113"/>
      <c r="AM160" s="113"/>
      <c r="AN160" s="113"/>
      <c r="AO160" s="113"/>
      <c r="AP160" s="52">
        <f t="shared" si="3"/>
        <v>0</v>
      </c>
      <c r="AR160" s="45">
        <f t="shared" si="4"/>
        <v>0</v>
      </c>
      <c r="AS160" s="45">
        <f t="shared" si="5"/>
        <v>0</v>
      </c>
      <c r="AT160" s="45" t="str">
        <f t="shared" si="6"/>
        <v>#DIV/0!</v>
      </c>
      <c r="AV160" s="45">
        <f t="shared" si="7"/>
        <v>0</v>
      </c>
      <c r="AW160" s="45">
        <f t="shared" si="8"/>
        <v>0</v>
      </c>
      <c r="AX160" s="45" t="str">
        <f t="shared" si="9"/>
        <v>#DIV/0!</v>
      </c>
      <c r="AZ160" s="45">
        <f t="shared" si="10"/>
        <v>0</v>
      </c>
      <c r="BA160" s="45">
        <f t="shared" si="11"/>
        <v>0</v>
      </c>
      <c r="BB160" s="45" t="str">
        <f t="shared" si="12"/>
        <v>#DIV/0!</v>
      </c>
      <c r="BD160" s="45">
        <f t="shared" si="13"/>
        <v>0</v>
      </c>
      <c r="BE160" s="45">
        <f t="shared" si="14"/>
        <v>0</v>
      </c>
      <c r="BF160" s="45" t="str">
        <f t="shared" si="15"/>
        <v>#DIV/0!</v>
      </c>
      <c r="BH160" s="45">
        <f t="shared" si="16"/>
        <v>0</v>
      </c>
      <c r="BI160" s="45">
        <f t="shared" si="17"/>
        <v>0</v>
      </c>
      <c r="BJ160" s="45" t="str">
        <f t="shared" si="18"/>
        <v>#DIV/0!</v>
      </c>
    </row>
    <row r="161" ht="15.75" customHeight="1">
      <c r="A161" s="52">
        <v>150.0</v>
      </c>
      <c r="B161" s="110"/>
      <c r="C161" s="110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52">
        <f t="shared" si="1"/>
        <v>0</v>
      </c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  <c r="AC161" s="52">
        <f t="shared" si="2"/>
        <v>0</v>
      </c>
      <c r="AD161" s="113"/>
      <c r="AE161" s="113"/>
      <c r="AF161" s="113"/>
      <c r="AG161" s="113"/>
      <c r="AH161" s="113"/>
      <c r="AI161" s="113"/>
      <c r="AJ161" s="113"/>
      <c r="AK161" s="113"/>
      <c r="AL161" s="113"/>
      <c r="AM161" s="113"/>
      <c r="AN161" s="113"/>
      <c r="AO161" s="113"/>
      <c r="AP161" s="52">
        <f t="shared" si="3"/>
        <v>0</v>
      </c>
      <c r="AR161" s="45">
        <f t="shared" si="4"/>
        <v>0</v>
      </c>
      <c r="AS161" s="45">
        <f t="shared" si="5"/>
        <v>0</v>
      </c>
      <c r="AT161" s="45" t="str">
        <f t="shared" si="6"/>
        <v>#DIV/0!</v>
      </c>
      <c r="AV161" s="45">
        <f t="shared" si="7"/>
        <v>0</v>
      </c>
      <c r="AW161" s="45">
        <f t="shared" si="8"/>
        <v>0</v>
      </c>
      <c r="AX161" s="45" t="str">
        <f t="shared" si="9"/>
        <v>#DIV/0!</v>
      </c>
      <c r="AZ161" s="45">
        <f t="shared" si="10"/>
        <v>0</v>
      </c>
      <c r="BA161" s="45">
        <f t="shared" si="11"/>
        <v>0</v>
      </c>
      <c r="BB161" s="45" t="str">
        <f t="shared" si="12"/>
        <v>#DIV/0!</v>
      </c>
      <c r="BD161" s="45">
        <f t="shared" si="13"/>
        <v>0</v>
      </c>
      <c r="BE161" s="45">
        <f t="shared" si="14"/>
        <v>0</v>
      </c>
      <c r="BF161" s="45" t="str">
        <f t="shared" si="15"/>
        <v>#DIV/0!</v>
      </c>
      <c r="BH161" s="45">
        <f t="shared" si="16"/>
        <v>0</v>
      </c>
      <c r="BI161" s="45">
        <f t="shared" si="17"/>
        <v>0</v>
      </c>
      <c r="BJ161" s="45" t="str">
        <f t="shared" si="18"/>
        <v>#DIV/0!</v>
      </c>
    </row>
    <row r="162" ht="15.75" customHeight="1">
      <c r="A162" s="52">
        <v>151.0</v>
      </c>
      <c r="B162" s="110"/>
      <c r="C162" s="110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52">
        <f t="shared" si="1"/>
        <v>0</v>
      </c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52">
        <f t="shared" si="2"/>
        <v>0</v>
      </c>
      <c r="AD162" s="113"/>
      <c r="AE162" s="113"/>
      <c r="AF162" s="113"/>
      <c r="AG162" s="113"/>
      <c r="AH162" s="113"/>
      <c r="AI162" s="113"/>
      <c r="AJ162" s="113"/>
      <c r="AK162" s="113"/>
      <c r="AL162" s="113"/>
      <c r="AM162" s="113"/>
      <c r="AN162" s="113"/>
      <c r="AO162" s="113"/>
      <c r="AP162" s="52">
        <f t="shared" si="3"/>
        <v>0</v>
      </c>
      <c r="AR162" s="45">
        <f t="shared" si="4"/>
        <v>0</v>
      </c>
      <c r="AS162" s="45">
        <f t="shared" si="5"/>
        <v>0</v>
      </c>
      <c r="AT162" s="45" t="str">
        <f t="shared" si="6"/>
        <v>#DIV/0!</v>
      </c>
      <c r="AV162" s="45">
        <f t="shared" si="7"/>
        <v>0</v>
      </c>
      <c r="AW162" s="45">
        <f t="shared" si="8"/>
        <v>0</v>
      </c>
      <c r="AX162" s="45" t="str">
        <f t="shared" si="9"/>
        <v>#DIV/0!</v>
      </c>
      <c r="AZ162" s="45">
        <f t="shared" si="10"/>
        <v>0</v>
      </c>
      <c r="BA162" s="45">
        <f t="shared" si="11"/>
        <v>0</v>
      </c>
      <c r="BB162" s="45" t="str">
        <f t="shared" si="12"/>
        <v>#DIV/0!</v>
      </c>
      <c r="BD162" s="45">
        <f t="shared" si="13"/>
        <v>0</v>
      </c>
      <c r="BE162" s="45">
        <f t="shared" si="14"/>
        <v>0</v>
      </c>
      <c r="BF162" s="45" t="str">
        <f t="shared" si="15"/>
        <v>#DIV/0!</v>
      </c>
      <c r="BH162" s="45">
        <f t="shared" si="16"/>
        <v>0</v>
      </c>
      <c r="BI162" s="45">
        <f t="shared" si="17"/>
        <v>0</v>
      </c>
      <c r="BJ162" s="45" t="str">
        <f t="shared" si="18"/>
        <v>#DIV/0!</v>
      </c>
    </row>
    <row r="163" ht="15.75" customHeight="1">
      <c r="A163" s="52">
        <v>152.0</v>
      </c>
      <c r="B163" s="110"/>
      <c r="C163" s="110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52">
        <f t="shared" si="1"/>
        <v>0</v>
      </c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52">
        <f t="shared" si="2"/>
        <v>0</v>
      </c>
      <c r="AD163" s="113"/>
      <c r="AE163" s="113"/>
      <c r="AF163" s="113"/>
      <c r="AG163" s="113"/>
      <c r="AH163" s="113"/>
      <c r="AI163" s="113"/>
      <c r="AJ163" s="113"/>
      <c r="AK163" s="113"/>
      <c r="AL163" s="113"/>
      <c r="AM163" s="113"/>
      <c r="AN163" s="113"/>
      <c r="AO163" s="113"/>
      <c r="AP163" s="52">
        <f t="shared" si="3"/>
        <v>0</v>
      </c>
      <c r="AR163" s="45">
        <f t="shared" si="4"/>
        <v>0</v>
      </c>
      <c r="AS163" s="45">
        <f t="shared" si="5"/>
        <v>0</v>
      </c>
      <c r="AT163" s="45" t="str">
        <f t="shared" si="6"/>
        <v>#DIV/0!</v>
      </c>
      <c r="AV163" s="45">
        <f t="shared" si="7"/>
        <v>0</v>
      </c>
      <c r="AW163" s="45">
        <f t="shared" si="8"/>
        <v>0</v>
      </c>
      <c r="AX163" s="45" t="str">
        <f t="shared" si="9"/>
        <v>#DIV/0!</v>
      </c>
      <c r="AZ163" s="45">
        <f t="shared" si="10"/>
        <v>0</v>
      </c>
      <c r="BA163" s="45">
        <f t="shared" si="11"/>
        <v>0</v>
      </c>
      <c r="BB163" s="45" t="str">
        <f t="shared" si="12"/>
        <v>#DIV/0!</v>
      </c>
      <c r="BD163" s="45">
        <f t="shared" si="13"/>
        <v>0</v>
      </c>
      <c r="BE163" s="45">
        <f t="shared" si="14"/>
        <v>0</v>
      </c>
      <c r="BF163" s="45" t="str">
        <f t="shared" si="15"/>
        <v>#DIV/0!</v>
      </c>
      <c r="BH163" s="45">
        <f t="shared" si="16"/>
        <v>0</v>
      </c>
      <c r="BI163" s="45">
        <f t="shared" si="17"/>
        <v>0</v>
      </c>
      <c r="BJ163" s="45" t="str">
        <f t="shared" si="18"/>
        <v>#DIV/0!</v>
      </c>
    </row>
    <row r="164" ht="15.75" customHeight="1">
      <c r="A164" s="52">
        <v>153.0</v>
      </c>
      <c r="B164" s="110"/>
      <c r="C164" s="110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52">
        <f t="shared" si="1"/>
        <v>0</v>
      </c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52">
        <f t="shared" si="2"/>
        <v>0</v>
      </c>
      <c r="AD164" s="113"/>
      <c r="AE164" s="113"/>
      <c r="AF164" s="113"/>
      <c r="AG164" s="113"/>
      <c r="AH164" s="113"/>
      <c r="AI164" s="113"/>
      <c r="AJ164" s="113"/>
      <c r="AK164" s="113"/>
      <c r="AL164" s="113"/>
      <c r="AM164" s="113"/>
      <c r="AN164" s="113"/>
      <c r="AO164" s="113"/>
      <c r="AP164" s="52">
        <f t="shared" si="3"/>
        <v>0</v>
      </c>
      <c r="AR164" s="45">
        <f t="shared" si="4"/>
        <v>0</v>
      </c>
      <c r="AS164" s="45">
        <f t="shared" si="5"/>
        <v>0</v>
      </c>
      <c r="AT164" s="45" t="str">
        <f t="shared" si="6"/>
        <v>#DIV/0!</v>
      </c>
      <c r="AV164" s="45">
        <f t="shared" si="7"/>
        <v>0</v>
      </c>
      <c r="AW164" s="45">
        <f t="shared" si="8"/>
        <v>0</v>
      </c>
      <c r="AX164" s="45" t="str">
        <f t="shared" si="9"/>
        <v>#DIV/0!</v>
      </c>
      <c r="AZ164" s="45">
        <f t="shared" si="10"/>
        <v>0</v>
      </c>
      <c r="BA164" s="45">
        <f t="shared" si="11"/>
        <v>0</v>
      </c>
      <c r="BB164" s="45" t="str">
        <f t="shared" si="12"/>
        <v>#DIV/0!</v>
      </c>
      <c r="BD164" s="45">
        <f t="shared" si="13"/>
        <v>0</v>
      </c>
      <c r="BE164" s="45">
        <f t="shared" si="14"/>
        <v>0</v>
      </c>
      <c r="BF164" s="45" t="str">
        <f t="shared" si="15"/>
        <v>#DIV/0!</v>
      </c>
      <c r="BH164" s="45">
        <f t="shared" si="16"/>
        <v>0</v>
      </c>
      <c r="BI164" s="45">
        <f t="shared" si="17"/>
        <v>0</v>
      </c>
      <c r="BJ164" s="45" t="str">
        <f t="shared" si="18"/>
        <v>#DIV/0!</v>
      </c>
    </row>
    <row r="165" ht="15.75" customHeight="1">
      <c r="A165" s="52">
        <v>154.0</v>
      </c>
      <c r="B165" s="110"/>
      <c r="C165" s="110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52">
        <f t="shared" si="1"/>
        <v>0</v>
      </c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52">
        <f t="shared" si="2"/>
        <v>0</v>
      </c>
      <c r="AD165" s="113"/>
      <c r="AE165" s="113"/>
      <c r="AF165" s="113"/>
      <c r="AG165" s="113"/>
      <c r="AH165" s="113"/>
      <c r="AI165" s="113"/>
      <c r="AJ165" s="113"/>
      <c r="AK165" s="113"/>
      <c r="AL165" s="113"/>
      <c r="AM165" s="113"/>
      <c r="AN165" s="113"/>
      <c r="AO165" s="113"/>
      <c r="AP165" s="52">
        <f t="shared" si="3"/>
        <v>0</v>
      </c>
      <c r="AR165" s="45">
        <f t="shared" si="4"/>
        <v>0</v>
      </c>
      <c r="AS165" s="45">
        <f t="shared" si="5"/>
        <v>0</v>
      </c>
      <c r="AT165" s="45" t="str">
        <f t="shared" si="6"/>
        <v>#DIV/0!</v>
      </c>
      <c r="AV165" s="45">
        <f t="shared" si="7"/>
        <v>0</v>
      </c>
      <c r="AW165" s="45">
        <f t="shared" si="8"/>
        <v>0</v>
      </c>
      <c r="AX165" s="45" t="str">
        <f t="shared" si="9"/>
        <v>#DIV/0!</v>
      </c>
      <c r="AZ165" s="45">
        <f t="shared" si="10"/>
        <v>0</v>
      </c>
      <c r="BA165" s="45">
        <f t="shared" si="11"/>
        <v>0</v>
      </c>
      <c r="BB165" s="45" t="str">
        <f t="shared" si="12"/>
        <v>#DIV/0!</v>
      </c>
      <c r="BD165" s="45">
        <f t="shared" si="13"/>
        <v>0</v>
      </c>
      <c r="BE165" s="45">
        <f t="shared" si="14"/>
        <v>0</v>
      </c>
      <c r="BF165" s="45" t="str">
        <f t="shared" si="15"/>
        <v>#DIV/0!</v>
      </c>
      <c r="BH165" s="45">
        <f t="shared" si="16"/>
        <v>0</v>
      </c>
      <c r="BI165" s="45">
        <f t="shared" si="17"/>
        <v>0</v>
      </c>
      <c r="BJ165" s="45" t="str">
        <f t="shared" si="18"/>
        <v>#DIV/0!</v>
      </c>
    </row>
    <row r="166" ht="15.75" customHeight="1">
      <c r="A166" s="52">
        <v>155.0</v>
      </c>
      <c r="B166" s="110"/>
      <c r="C166" s="110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52">
        <f t="shared" si="1"/>
        <v>0</v>
      </c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52">
        <f t="shared" si="2"/>
        <v>0</v>
      </c>
      <c r="AD166" s="113"/>
      <c r="AE166" s="113"/>
      <c r="AF166" s="113"/>
      <c r="AG166" s="113"/>
      <c r="AH166" s="113"/>
      <c r="AI166" s="113"/>
      <c r="AJ166" s="113"/>
      <c r="AK166" s="113"/>
      <c r="AL166" s="113"/>
      <c r="AM166" s="113"/>
      <c r="AN166" s="113"/>
      <c r="AO166" s="113"/>
      <c r="AP166" s="52">
        <f t="shared" si="3"/>
        <v>0</v>
      </c>
      <c r="AR166" s="45">
        <f t="shared" si="4"/>
        <v>0</v>
      </c>
      <c r="AS166" s="45">
        <f t="shared" si="5"/>
        <v>0</v>
      </c>
      <c r="AT166" s="45" t="str">
        <f t="shared" si="6"/>
        <v>#DIV/0!</v>
      </c>
      <c r="AV166" s="45">
        <f t="shared" si="7"/>
        <v>0</v>
      </c>
      <c r="AW166" s="45">
        <f t="shared" si="8"/>
        <v>0</v>
      </c>
      <c r="AX166" s="45" t="str">
        <f t="shared" si="9"/>
        <v>#DIV/0!</v>
      </c>
      <c r="AZ166" s="45">
        <f t="shared" si="10"/>
        <v>0</v>
      </c>
      <c r="BA166" s="45">
        <f t="shared" si="11"/>
        <v>0</v>
      </c>
      <c r="BB166" s="45" t="str">
        <f t="shared" si="12"/>
        <v>#DIV/0!</v>
      </c>
      <c r="BD166" s="45">
        <f t="shared" si="13"/>
        <v>0</v>
      </c>
      <c r="BE166" s="45">
        <f t="shared" si="14"/>
        <v>0</v>
      </c>
      <c r="BF166" s="45" t="str">
        <f t="shared" si="15"/>
        <v>#DIV/0!</v>
      </c>
      <c r="BH166" s="45">
        <f t="shared" si="16"/>
        <v>0</v>
      </c>
      <c r="BI166" s="45">
        <f t="shared" si="17"/>
        <v>0</v>
      </c>
      <c r="BJ166" s="45" t="str">
        <f t="shared" si="18"/>
        <v>#DIV/0!</v>
      </c>
    </row>
    <row r="167" ht="15.75" customHeight="1">
      <c r="A167" s="52">
        <v>156.0</v>
      </c>
      <c r="B167" s="110"/>
      <c r="C167" s="110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52">
        <f t="shared" si="1"/>
        <v>0</v>
      </c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52">
        <f t="shared" si="2"/>
        <v>0</v>
      </c>
      <c r="AD167" s="113"/>
      <c r="AE167" s="113"/>
      <c r="AF167" s="113"/>
      <c r="AG167" s="113"/>
      <c r="AH167" s="113"/>
      <c r="AI167" s="113"/>
      <c r="AJ167" s="113"/>
      <c r="AK167" s="113"/>
      <c r="AL167" s="113"/>
      <c r="AM167" s="113"/>
      <c r="AN167" s="113"/>
      <c r="AO167" s="113"/>
      <c r="AP167" s="52">
        <f t="shared" si="3"/>
        <v>0</v>
      </c>
      <c r="AR167" s="45">
        <f t="shared" si="4"/>
        <v>0</v>
      </c>
      <c r="AS167" s="45">
        <f t="shared" si="5"/>
        <v>0</v>
      </c>
      <c r="AT167" s="45" t="str">
        <f t="shared" si="6"/>
        <v>#DIV/0!</v>
      </c>
      <c r="AV167" s="45">
        <f t="shared" si="7"/>
        <v>0</v>
      </c>
      <c r="AW167" s="45">
        <f t="shared" si="8"/>
        <v>0</v>
      </c>
      <c r="AX167" s="45" t="str">
        <f t="shared" si="9"/>
        <v>#DIV/0!</v>
      </c>
      <c r="AZ167" s="45">
        <f t="shared" si="10"/>
        <v>0</v>
      </c>
      <c r="BA167" s="45">
        <f t="shared" si="11"/>
        <v>0</v>
      </c>
      <c r="BB167" s="45" t="str">
        <f t="shared" si="12"/>
        <v>#DIV/0!</v>
      </c>
      <c r="BD167" s="45">
        <f t="shared" si="13"/>
        <v>0</v>
      </c>
      <c r="BE167" s="45">
        <f t="shared" si="14"/>
        <v>0</v>
      </c>
      <c r="BF167" s="45" t="str">
        <f t="shared" si="15"/>
        <v>#DIV/0!</v>
      </c>
      <c r="BH167" s="45">
        <f t="shared" si="16"/>
        <v>0</v>
      </c>
      <c r="BI167" s="45">
        <f t="shared" si="17"/>
        <v>0</v>
      </c>
      <c r="BJ167" s="45" t="str">
        <f t="shared" si="18"/>
        <v>#DIV/0!</v>
      </c>
    </row>
    <row r="168" ht="15.75" customHeight="1">
      <c r="A168" s="52">
        <v>157.0</v>
      </c>
      <c r="B168" s="110"/>
      <c r="C168" s="110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52">
        <f t="shared" si="1"/>
        <v>0</v>
      </c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52">
        <f t="shared" si="2"/>
        <v>0</v>
      </c>
      <c r="AD168" s="113"/>
      <c r="AE168" s="113"/>
      <c r="AF168" s="113"/>
      <c r="AG168" s="113"/>
      <c r="AH168" s="113"/>
      <c r="AI168" s="113"/>
      <c r="AJ168" s="113"/>
      <c r="AK168" s="113"/>
      <c r="AL168" s="113"/>
      <c r="AM168" s="113"/>
      <c r="AN168" s="113"/>
      <c r="AO168" s="113"/>
      <c r="AP168" s="52">
        <f t="shared" si="3"/>
        <v>0</v>
      </c>
      <c r="AR168" s="45">
        <f t="shared" si="4"/>
        <v>0</v>
      </c>
      <c r="AS168" s="45">
        <f t="shared" si="5"/>
        <v>0</v>
      </c>
      <c r="AT168" s="45" t="str">
        <f t="shared" si="6"/>
        <v>#DIV/0!</v>
      </c>
      <c r="AV168" s="45">
        <f t="shared" si="7"/>
        <v>0</v>
      </c>
      <c r="AW168" s="45">
        <f t="shared" si="8"/>
        <v>0</v>
      </c>
      <c r="AX168" s="45" t="str">
        <f t="shared" si="9"/>
        <v>#DIV/0!</v>
      </c>
      <c r="AZ168" s="45">
        <f t="shared" si="10"/>
        <v>0</v>
      </c>
      <c r="BA168" s="45">
        <f t="shared" si="11"/>
        <v>0</v>
      </c>
      <c r="BB168" s="45" t="str">
        <f t="shared" si="12"/>
        <v>#DIV/0!</v>
      </c>
      <c r="BD168" s="45">
        <f t="shared" si="13"/>
        <v>0</v>
      </c>
      <c r="BE168" s="45">
        <f t="shared" si="14"/>
        <v>0</v>
      </c>
      <c r="BF168" s="45" t="str">
        <f t="shared" si="15"/>
        <v>#DIV/0!</v>
      </c>
      <c r="BH168" s="45">
        <f t="shared" si="16"/>
        <v>0</v>
      </c>
      <c r="BI168" s="45">
        <f t="shared" si="17"/>
        <v>0</v>
      </c>
      <c r="BJ168" s="45" t="str">
        <f t="shared" si="18"/>
        <v>#DIV/0!</v>
      </c>
    </row>
    <row r="169" ht="15.75" customHeight="1">
      <c r="A169" s="52">
        <v>158.0</v>
      </c>
      <c r="B169" s="110"/>
      <c r="C169" s="110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52">
        <f t="shared" si="1"/>
        <v>0</v>
      </c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52">
        <f t="shared" si="2"/>
        <v>0</v>
      </c>
      <c r="AD169" s="113"/>
      <c r="AE169" s="113"/>
      <c r="AF169" s="113"/>
      <c r="AG169" s="113"/>
      <c r="AH169" s="113"/>
      <c r="AI169" s="113"/>
      <c r="AJ169" s="113"/>
      <c r="AK169" s="113"/>
      <c r="AL169" s="113"/>
      <c r="AM169" s="113"/>
      <c r="AN169" s="113"/>
      <c r="AO169" s="113"/>
      <c r="AP169" s="52">
        <f t="shared" si="3"/>
        <v>0</v>
      </c>
      <c r="AR169" s="45">
        <f t="shared" si="4"/>
        <v>0</v>
      </c>
      <c r="AS169" s="45">
        <f t="shared" si="5"/>
        <v>0</v>
      </c>
      <c r="AT169" s="45" t="str">
        <f t="shared" si="6"/>
        <v>#DIV/0!</v>
      </c>
      <c r="AV169" s="45">
        <f t="shared" si="7"/>
        <v>0</v>
      </c>
      <c r="AW169" s="45">
        <f t="shared" si="8"/>
        <v>0</v>
      </c>
      <c r="AX169" s="45" t="str">
        <f t="shared" si="9"/>
        <v>#DIV/0!</v>
      </c>
      <c r="AZ169" s="45">
        <f t="shared" si="10"/>
        <v>0</v>
      </c>
      <c r="BA169" s="45">
        <f t="shared" si="11"/>
        <v>0</v>
      </c>
      <c r="BB169" s="45" t="str">
        <f t="shared" si="12"/>
        <v>#DIV/0!</v>
      </c>
      <c r="BD169" s="45">
        <f t="shared" si="13"/>
        <v>0</v>
      </c>
      <c r="BE169" s="45">
        <f t="shared" si="14"/>
        <v>0</v>
      </c>
      <c r="BF169" s="45" t="str">
        <f t="shared" si="15"/>
        <v>#DIV/0!</v>
      </c>
      <c r="BH169" s="45">
        <f t="shared" si="16"/>
        <v>0</v>
      </c>
      <c r="BI169" s="45">
        <f t="shared" si="17"/>
        <v>0</v>
      </c>
      <c r="BJ169" s="45" t="str">
        <f t="shared" si="18"/>
        <v>#DIV/0!</v>
      </c>
    </row>
    <row r="170" ht="15.75" customHeight="1">
      <c r="A170" s="52">
        <v>159.0</v>
      </c>
      <c r="B170" s="110"/>
      <c r="C170" s="110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52">
        <f t="shared" si="1"/>
        <v>0</v>
      </c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52">
        <f t="shared" si="2"/>
        <v>0</v>
      </c>
      <c r="AD170" s="113"/>
      <c r="AE170" s="113"/>
      <c r="AF170" s="113"/>
      <c r="AG170" s="113"/>
      <c r="AH170" s="113"/>
      <c r="AI170" s="113"/>
      <c r="AJ170" s="113"/>
      <c r="AK170" s="113"/>
      <c r="AL170" s="113"/>
      <c r="AM170" s="113"/>
      <c r="AN170" s="113"/>
      <c r="AO170" s="113"/>
      <c r="AP170" s="52">
        <f t="shared" si="3"/>
        <v>0</v>
      </c>
      <c r="AR170" s="45">
        <f t="shared" si="4"/>
        <v>0</v>
      </c>
      <c r="AS170" s="45">
        <f t="shared" si="5"/>
        <v>0</v>
      </c>
      <c r="AT170" s="45" t="str">
        <f t="shared" si="6"/>
        <v>#DIV/0!</v>
      </c>
      <c r="AV170" s="45">
        <f t="shared" si="7"/>
        <v>0</v>
      </c>
      <c r="AW170" s="45">
        <f t="shared" si="8"/>
        <v>0</v>
      </c>
      <c r="AX170" s="45" t="str">
        <f t="shared" si="9"/>
        <v>#DIV/0!</v>
      </c>
      <c r="AZ170" s="45">
        <f t="shared" si="10"/>
        <v>0</v>
      </c>
      <c r="BA170" s="45">
        <f t="shared" si="11"/>
        <v>0</v>
      </c>
      <c r="BB170" s="45" t="str">
        <f t="shared" si="12"/>
        <v>#DIV/0!</v>
      </c>
      <c r="BD170" s="45">
        <f t="shared" si="13"/>
        <v>0</v>
      </c>
      <c r="BE170" s="45">
        <f t="shared" si="14"/>
        <v>0</v>
      </c>
      <c r="BF170" s="45" t="str">
        <f t="shared" si="15"/>
        <v>#DIV/0!</v>
      </c>
      <c r="BH170" s="45">
        <f t="shared" si="16"/>
        <v>0</v>
      </c>
      <c r="BI170" s="45">
        <f t="shared" si="17"/>
        <v>0</v>
      </c>
      <c r="BJ170" s="45" t="str">
        <f t="shared" si="18"/>
        <v>#DIV/0!</v>
      </c>
    </row>
    <row r="171" ht="15.75" customHeight="1">
      <c r="A171" s="52">
        <v>160.0</v>
      </c>
      <c r="B171" s="110"/>
      <c r="C171" s="110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52">
        <f t="shared" si="1"/>
        <v>0</v>
      </c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52">
        <f t="shared" si="2"/>
        <v>0</v>
      </c>
      <c r="AD171" s="113"/>
      <c r="AE171" s="113"/>
      <c r="AF171" s="113"/>
      <c r="AG171" s="113"/>
      <c r="AH171" s="113"/>
      <c r="AI171" s="113"/>
      <c r="AJ171" s="113"/>
      <c r="AK171" s="113"/>
      <c r="AL171" s="113"/>
      <c r="AM171" s="113"/>
      <c r="AN171" s="113"/>
      <c r="AO171" s="113"/>
      <c r="AP171" s="52">
        <f t="shared" si="3"/>
        <v>0</v>
      </c>
      <c r="AR171" s="45">
        <f t="shared" si="4"/>
        <v>0</v>
      </c>
      <c r="AS171" s="45">
        <f t="shared" si="5"/>
        <v>0</v>
      </c>
      <c r="AT171" s="45" t="str">
        <f t="shared" si="6"/>
        <v>#DIV/0!</v>
      </c>
      <c r="AV171" s="45">
        <f t="shared" si="7"/>
        <v>0</v>
      </c>
      <c r="AW171" s="45">
        <f t="shared" si="8"/>
        <v>0</v>
      </c>
      <c r="AX171" s="45" t="str">
        <f t="shared" si="9"/>
        <v>#DIV/0!</v>
      </c>
      <c r="AZ171" s="45">
        <f t="shared" si="10"/>
        <v>0</v>
      </c>
      <c r="BA171" s="45">
        <f t="shared" si="11"/>
        <v>0</v>
      </c>
      <c r="BB171" s="45" t="str">
        <f t="shared" si="12"/>
        <v>#DIV/0!</v>
      </c>
      <c r="BD171" s="45">
        <f t="shared" si="13"/>
        <v>0</v>
      </c>
      <c r="BE171" s="45">
        <f t="shared" si="14"/>
        <v>0</v>
      </c>
      <c r="BF171" s="45" t="str">
        <f t="shared" si="15"/>
        <v>#DIV/0!</v>
      </c>
      <c r="BH171" s="45">
        <f t="shared" si="16"/>
        <v>0</v>
      </c>
      <c r="BI171" s="45">
        <f t="shared" si="17"/>
        <v>0</v>
      </c>
      <c r="BJ171" s="45" t="str">
        <f t="shared" si="18"/>
        <v>#DIV/0!</v>
      </c>
    </row>
    <row r="172" ht="15.75" customHeight="1">
      <c r="A172" s="52">
        <v>161.0</v>
      </c>
      <c r="B172" s="110"/>
      <c r="C172" s="110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52">
        <f t="shared" si="1"/>
        <v>0</v>
      </c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52">
        <f t="shared" si="2"/>
        <v>0</v>
      </c>
      <c r="AD172" s="113"/>
      <c r="AE172" s="113"/>
      <c r="AF172" s="113"/>
      <c r="AG172" s="113"/>
      <c r="AH172" s="113"/>
      <c r="AI172" s="113"/>
      <c r="AJ172" s="113"/>
      <c r="AK172" s="113"/>
      <c r="AL172" s="113"/>
      <c r="AM172" s="113"/>
      <c r="AN172" s="113"/>
      <c r="AO172" s="113"/>
      <c r="AP172" s="52">
        <f t="shared" si="3"/>
        <v>0</v>
      </c>
      <c r="AR172" s="45">
        <f t="shared" si="4"/>
        <v>0</v>
      </c>
      <c r="AS172" s="45">
        <f t="shared" si="5"/>
        <v>0</v>
      </c>
      <c r="AT172" s="45" t="str">
        <f t="shared" si="6"/>
        <v>#DIV/0!</v>
      </c>
      <c r="AV172" s="45">
        <f t="shared" si="7"/>
        <v>0</v>
      </c>
      <c r="AW172" s="45">
        <f t="shared" si="8"/>
        <v>0</v>
      </c>
      <c r="AX172" s="45" t="str">
        <f t="shared" si="9"/>
        <v>#DIV/0!</v>
      </c>
      <c r="AZ172" s="45">
        <f t="shared" si="10"/>
        <v>0</v>
      </c>
      <c r="BA172" s="45">
        <f t="shared" si="11"/>
        <v>0</v>
      </c>
      <c r="BB172" s="45" t="str">
        <f t="shared" si="12"/>
        <v>#DIV/0!</v>
      </c>
      <c r="BD172" s="45">
        <f t="shared" si="13"/>
        <v>0</v>
      </c>
      <c r="BE172" s="45">
        <f t="shared" si="14"/>
        <v>0</v>
      </c>
      <c r="BF172" s="45" t="str">
        <f t="shared" si="15"/>
        <v>#DIV/0!</v>
      </c>
      <c r="BH172" s="45">
        <f t="shared" si="16"/>
        <v>0</v>
      </c>
      <c r="BI172" s="45">
        <f t="shared" si="17"/>
        <v>0</v>
      </c>
      <c r="BJ172" s="45" t="str">
        <f t="shared" si="18"/>
        <v>#DIV/0!</v>
      </c>
    </row>
    <row r="173" ht="15.75" customHeight="1">
      <c r="A173" s="52">
        <v>162.0</v>
      </c>
      <c r="B173" s="110"/>
      <c r="C173" s="110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52">
        <f t="shared" si="1"/>
        <v>0</v>
      </c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52">
        <f t="shared" si="2"/>
        <v>0</v>
      </c>
      <c r="AD173" s="113"/>
      <c r="AE173" s="113"/>
      <c r="AF173" s="113"/>
      <c r="AG173" s="113"/>
      <c r="AH173" s="113"/>
      <c r="AI173" s="113"/>
      <c r="AJ173" s="113"/>
      <c r="AK173" s="113"/>
      <c r="AL173" s="113"/>
      <c r="AM173" s="113"/>
      <c r="AN173" s="113"/>
      <c r="AO173" s="113"/>
      <c r="AP173" s="52">
        <f t="shared" si="3"/>
        <v>0</v>
      </c>
      <c r="AR173" s="45">
        <f t="shared" si="4"/>
        <v>0</v>
      </c>
      <c r="AS173" s="45">
        <f t="shared" si="5"/>
        <v>0</v>
      </c>
      <c r="AT173" s="45" t="str">
        <f t="shared" si="6"/>
        <v>#DIV/0!</v>
      </c>
      <c r="AV173" s="45">
        <f t="shared" si="7"/>
        <v>0</v>
      </c>
      <c r="AW173" s="45">
        <f t="shared" si="8"/>
        <v>0</v>
      </c>
      <c r="AX173" s="45" t="str">
        <f t="shared" si="9"/>
        <v>#DIV/0!</v>
      </c>
      <c r="AZ173" s="45">
        <f t="shared" si="10"/>
        <v>0</v>
      </c>
      <c r="BA173" s="45">
        <f t="shared" si="11"/>
        <v>0</v>
      </c>
      <c r="BB173" s="45" t="str">
        <f t="shared" si="12"/>
        <v>#DIV/0!</v>
      </c>
      <c r="BD173" s="45">
        <f t="shared" si="13"/>
        <v>0</v>
      </c>
      <c r="BE173" s="45">
        <f t="shared" si="14"/>
        <v>0</v>
      </c>
      <c r="BF173" s="45" t="str">
        <f t="shared" si="15"/>
        <v>#DIV/0!</v>
      </c>
      <c r="BH173" s="45">
        <f t="shared" si="16"/>
        <v>0</v>
      </c>
      <c r="BI173" s="45">
        <f t="shared" si="17"/>
        <v>0</v>
      </c>
      <c r="BJ173" s="45" t="str">
        <f t="shared" si="18"/>
        <v>#DIV/0!</v>
      </c>
    </row>
    <row r="174" ht="15.75" customHeight="1">
      <c r="A174" s="52">
        <v>163.0</v>
      </c>
      <c r="B174" s="110"/>
      <c r="C174" s="110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52">
        <f t="shared" si="1"/>
        <v>0</v>
      </c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52">
        <f t="shared" si="2"/>
        <v>0</v>
      </c>
      <c r="AD174" s="113"/>
      <c r="AE174" s="113"/>
      <c r="AF174" s="113"/>
      <c r="AG174" s="113"/>
      <c r="AH174" s="113"/>
      <c r="AI174" s="113"/>
      <c r="AJ174" s="113"/>
      <c r="AK174" s="113"/>
      <c r="AL174" s="113"/>
      <c r="AM174" s="113"/>
      <c r="AN174" s="113"/>
      <c r="AO174" s="113"/>
      <c r="AP174" s="52">
        <f t="shared" si="3"/>
        <v>0</v>
      </c>
      <c r="AR174" s="45">
        <f t="shared" si="4"/>
        <v>0</v>
      </c>
      <c r="AS174" s="45">
        <f t="shared" si="5"/>
        <v>0</v>
      </c>
      <c r="AT174" s="45" t="str">
        <f t="shared" si="6"/>
        <v>#DIV/0!</v>
      </c>
      <c r="AV174" s="45">
        <f t="shared" si="7"/>
        <v>0</v>
      </c>
      <c r="AW174" s="45">
        <f t="shared" si="8"/>
        <v>0</v>
      </c>
      <c r="AX174" s="45" t="str">
        <f t="shared" si="9"/>
        <v>#DIV/0!</v>
      </c>
      <c r="AZ174" s="45">
        <f t="shared" si="10"/>
        <v>0</v>
      </c>
      <c r="BA174" s="45">
        <f t="shared" si="11"/>
        <v>0</v>
      </c>
      <c r="BB174" s="45" t="str">
        <f t="shared" si="12"/>
        <v>#DIV/0!</v>
      </c>
      <c r="BD174" s="45">
        <f t="shared" si="13"/>
        <v>0</v>
      </c>
      <c r="BE174" s="45">
        <f t="shared" si="14"/>
        <v>0</v>
      </c>
      <c r="BF174" s="45" t="str">
        <f t="shared" si="15"/>
        <v>#DIV/0!</v>
      </c>
      <c r="BH174" s="45">
        <f t="shared" si="16"/>
        <v>0</v>
      </c>
      <c r="BI174" s="45">
        <f t="shared" si="17"/>
        <v>0</v>
      </c>
      <c r="BJ174" s="45" t="str">
        <f t="shared" si="18"/>
        <v>#DIV/0!</v>
      </c>
    </row>
    <row r="175" ht="15.75" customHeight="1">
      <c r="A175" s="52">
        <v>164.0</v>
      </c>
      <c r="B175" s="110"/>
      <c r="C175" s="110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52">
        <f t="shared" si="1"/>
        <v>0</v>
      </c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52">
        <f t="shared" si="2"/>
        <v>0</v>
      </c>
      <c r="AD175" s="113"/>
      <c r="AE175" s="113"/>
      <c r="AF175" s="113"/>
      <c r="AG175" s="113"/>
      <c r="AH175" s="113"/>
      <c r="AI175" s="113"/>
      <c r="AJ175" s="113"/>
      <c r="AK175" s="113"/>
      <c r="AL175" s="113"/>
      <c r="AM175" s="113"/>
      <c r="AN175" s="113"/>
      <c r="AO175" s="113"/>
      <c r="AP175" s="52">
        <f t="shared" si="3"/>
        <v>0</v>
      </c>
      <c r="AR175" s="45">
        <f t="shared" si="4"/>
        <v>0</v>
      </c>
      <c r="AS175" s="45">
        <f t="shared" si="5"/>
        <v>0</v>
      </c>
      <c r="AT175" s="45" t="str">
        <f t="shared" si="6"/>
        <v>#DIV/0!</v>
      </c>
      <c r="AV175" s="45">
        <f t="shared" si="7"/>
        <v>0</v>
      </c>
      <c r="AW175" s="45">
        <f t="shared" si="8"/>
        <v>0</v>
      </c>
      <c r="AX175" s="45" t="str">
        <f t="shared" si="9"/>
        <v>#DIV/0!</v>
      </c>
      <c r="AZ175" s="45">
        <f t="shared" si="10"/>
        <v>0</v>
      </c>
      <c r="BA175" s="45">
        <f t="shared" si="11"/>
        <v>0</v>
      </c>
      <c r="BB175" s="45" t="str">
        <f t="shared" si="12"/>
        <v>#DIV/0!</v>
      </c>
      <c r="BD175" s="45">
        <f t="shared" si="13"/>
        <v>0</v>
      </c>
      <c r="BE175" s="45">
        <f t="shared" si="14"/>
        <v>0</v>
      </c>
      <c r="BF175" s="45" t="str">
        <f t="shared" si="15"/>
        <v>#DIV/0!</v>
      </c>
      <c r="BH175" s="45">
        <f t="shared" si="16"/>
        <v>0</v>
      </c>
      <c r="BI175" s="45">
        <f t="shared" si="17"/>
        <v>0</v>
      </c>
      <c r="BJ175" s="45" t="str">
        <f t="shared" si="18"/>
        <v>#DIV/0!</v>
      </c>
    </row>
    <row r="176" ht="15.75" customHeight="1">
      <c r="A176" s="52">
        <v>165.0</v>
      </c>
      <c r="B176" s="110"/>
      <c r="C176" s="110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52">
        <f t="shared" si="1"/>
        <v>0</v>
      </c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52">
        <f t="shared" si="2"/>
        <v>0</v>
      </c>
      <c r="AD176" s="113"/>
      <c r="AE176" s="113"/>
      <c r="AF176" s="113"/>
      <c r="AG176" s="113"/>
      <c r="AH176" s="113"/>
      <c r="AI176" s="113"/>
      <c r="AJ176" s="113"/>
      <c r="AK176" s="113"/>
      <c r="AL176" s="113"/>
      <c r="AM176" s="113"/>
      <c r="AN176" s="113"/>
      <c r="AO176" s="113"/>
      <c r="AP176" s="52">
        <f t="shared" si="3"/>
        <v>0</v>
      </c>
      <c r="AR176" s="45">
        <f t="shared" si="4"/>
        <v>0</v>
      </c>
      <c r="AS176" s="45">
        <f t="shared" si="5"/>
        <v>0</v>
      </c>
      <c r="AT176" s="45" t="str">
        <f t="shared" si="6"/>
        <v>#DIV/0!</v>
      </c>
      <c r="AV176" s="45">
        <f t="shared" si="7"/>
        <v>0</v>
      </c>
      <c r="AW176" s="45">
        <f t="shared" si="8"/>
        <v>0</v>
      </c>
      <c r="AX176" s="45" t="str">
        <f t="shared" si="9"/>
        <v>#DIV/0!</v>
      </c>
      <c r="AZ176" s="45">
        <f t="shared" si="10"/>
        <v>0</v>
      </c>
      <c r="BA176" s="45">
        <f t="shared" si="11"/>
        <v>0</v>
      </c>
      <c r="BB176" s="45" t="str">
        <f t="shared" si="12"/>
        <v>#DIV/0!</v>
      </c>
      <c r="BD176" s="45">
        <f t="shared" si="13"/>
        <v>0</v>
      </c>
      <c r="BE176" s="45">
        <f t="shared" si="14"/>
        <v>0</v>
      </c>
      <c r="BF176" s="45" t="str">
        <f t="shared" si="15"/>
        <v>#DIV/0!</v>
      </c>
      <c r="BH176" s="45">
        <f t="shared" si="16"/>
        <v>0</v>
      </c>
      <c r="BI176" s="45">
        <f t="shared" si="17"/>
        <v>0</v>
      </c>
      <c r="BJ176" s="45" t="str">
        <f t="shared" si="18"/>
        <v>#DIV/0!</v>
      </c>
    </row>
    <row r="177" ht="15.75" customHeight="1">
      <c r="A177" s="52">
        <v>166.0</v>
      </c>
      <c r="B177" s="110"/>
      <c r="C177" s="110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52">
        <f t="shared" si="1"/>
        <v>0</v>
      </c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52">
        <f t="shared" si="2"/>
        <v>0</v>
      </c>
      <c r="AD177" s="113"/>
      <c r="AE177" s="113"/>
      <c r="AF177" s="113"/>
      <c r="AG177" s="113"/>
      <c r="AH177" s="113"/>
      <c r="AI177" s="113"/>
      <c r="AJ177" s="113"/>
      <c r="AK177" s="113"/>
      <c r="AL177" s="113"/>
      <c r="AM177" s="113"/>
      <c r="AN177" s="113"/>
      <c r="AO177" s="113"/>
      <c r="AP177" s="52">
        <f t="shared" si="3"/>
        <v>0</v>
      </c>
      <c r="AR177" s="45">
        <f t="shared" si="4"/>
        <v>0</v>
      </c>
      <c r="AS177" s="45">
        <f t="shared" si="5"/>
        <v>0</v>
      </c>
      <c r="AT177" s="45" t="str">
        <f t="shared" si="6"/>
        <v>#DIV/0!</v>
      </c>
      <c r="AV177" s="45">
        <f t="shared" si="7"/>
        <v>0</v>
      </c>
      <c r="AW177" s="45">
        <f t="shared" si="8"/>
        <v>0</v>
      </c>
      <c r="AX177" s="45" t="str">
        <f t="shared" si="9"/>
        <v>#DIV/0!</v>
      </c>
      <c r="AZ177" s="45">
        <f t="shared" si="10"/>
        <v>0</v>
      </c>
      <c r="BA177" s="45">
        <f t="shared" si="11"/>
        <v>0</v>
      </c>
      <c r="BB177" s="45" t="str">
        <f t="shared" si="12"/>
        <v>#DIV/0!</v>
      </c>
      <c r="BD177" s="45">
        <f t="shared" si="13"/>
        <v>0</v>
      </c>
      <c r="BE177" s="45">
        <f t="shared" si="14"/>
        <v>0</v>
      </c>
      <c r="BF177" s="45" t="str">
        <f t="shared" si="15"/>
        <v>#DIV/0!</v>
      </c>
      <c r="BH177" s="45">
        <f t="shared" si="16"/>
        <v>0</v>
      </c>
      <c r="BI177" s="45">
        <f t="shared" si="17"/>
        <v>0</v>
      </c>
      <c r="BJ177" s="45" t="str">
        <f t="shared" si="18"/>
        <v>#DIV/0!</v>
      </c>
    </row>
    <row r="178" ht="15.75" customHeight="1">
      <c r="A178" s="52">
        <v>167.0</v>
      </c>
      <c r="B178" s="110"/>
      <c r="C178" s="110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52">
        <f t="shared" si="1"/>
        <v>0</v>
      </c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52">
        <f t="shared" si="2"/>
        <v>0</v>
      </c>
      <c r="AD178" s="113"/>
      <c r="AE178" s="113"/>
      <c r="AF178" s="113"/>
      <c r="AG178" s="113"/>
      <c r="AH178" s="113"/>
      <c r="AI178" s="113"/>
      <c r="AJ178" s="113"/>
      <c r="AK178" s="113"/>
      <c r="AL178" s="113"/>
      <c r="AM178" s="113"/>
      <c r="AN178" s="113"/>
      <c r="AO178" s="113"/>
      <c r="AP178" s="52">
        <f t="shared" si="3"/>
        <v>0</v>
      </c>
      <c r="AR178" s="45">
        <f t="shared" si="4"/>
        <v>0</v>
      </c>
      <c r="AS178" s="45">
        <f t="shared" si="5"/>
        <v>0</v>
      </c>
      <c r="AT178" s="45" t="str">
        <f t="shared" si="6"/>
        <v>#DIV/0!</v>
      </c>
      <c r="AV178" s="45">
        <f t="shared" si="7"/>
        <v>0</v>
      </c>
      <c r="AW178" s="45">
        <f t="shared" si="8"/>
        <v>0</v>
      </c>
      <c r="AX178" s="45" t="str">
        <f t="shared" si="9"/>
        <v>#DIV/0!</v>
      </c>
      <c r="AZ178" s="45">
        <f t="shared" si="10"/>
        <v>0</v>
      </c>
      <c r="BA178" s="45">
        <f t="shared" si="11"/>
        <v>0</v>
      </c>
      <c r="BB178" s="45" t="str">
        <f t="shared" si="12"/>
        <v>#DIV/0!</v>
      </c>
      <c r="BD178" s="45">
        <f t="shared" si="13"/>
        <v>0</v>
      </c>
      <c r="BE178" s="45">
        <f t="shared" si="14"/>
        <v>0</v>
      </c>
      <c r="BF178" s="45" t="str">
        <f t="shared" si="15"/>
        <v>#DIV/0!</v>
      </c>
      <c r="BH178" s="45">
        <f t="shared" si="16"/>
        <v>0</v>
      </c>
      <c r="BI178" s="45">
        <f t="shared" si="17"/>
        <v>0</v>
      </c>
      <c r="BJ178" s="45" t="str">
        <f t="shared" si="18"/>
        <v>#DIV/0!</v>
      </c>
    </row>
    <row r="179" ht="15.75" customHeight="1">
      <c r="A179" s="52">
        <v>168.0</v>
      </c>
      <c r="B179" s="110"/>
      <c r="C179" s="110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52">
        <f t="shared" si="1"/>
        <v>0</v>
      </c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52">
        <f t="shared" si="2"/>
        <v>0</v>
      </c>
      <c r="AD179" s="113"/>
      <c r="AE179" s="113"/>
      <c r="AF179" s="113"/>
      <c r="AG179" s="113"/>
      <c r="AH179" s="113"/>
      <c r="AI179" s="113"/>
      <c r="AJ179" s="113"/>
      <c r="AK179" s="113"/>
      <c r="AL179" s="113"/>
      <c r="AM179" s="113"/>
      <c r="AN179" s="113"/>
      <c r="AO179" s="113"/>
      <c r="AP179" s="52">
        <f t="shared" si="3"/>
        <v>0</v>
      </c>
      <c r="AR179" s="45">
        <f t="shared" si="4"/>
        <v>0</v>
      </c>
      <c r="AS179" s="45">
        <f t="shared" si="5"/>
        <v>0</v>
      </c>
      <c r="AT179" s="45" t="str">
        <f t="shared" si="6"/>
        <v>#DIV/0!</v>
      </c>
      <c r="AV179" s="45">
        <f t="shared" si="7"/>
        <v>0</v>
      </c>
      <c r="AW179" s="45">
        <f t="shared" si="8"/>
        <v>0</v>
      </c>
      <c r="AX179" s="45" t="str">
        <f t="shared" si="9"/>
        <v>#DIV/0!</v>
      </c>
      <c r="AZ179" s="45">
        <f t="shared" si="10"/>
        <v>0</v>
      </c>
      <c r="BA179" s="45">
        <f t="shared" si="11"/>
        <v>0</v>
      </c>
      <c r="BB179" s="45" t="str">
        <f t="shared" si="12"/>
        <v>#DIV/0!</v>
      </c>
      <c r="BD179" s="45">
        <f t="shared" si="13"/>
        <v>0</v>
      </c>
      <c r="BE179" s="45">
        <f t="shared" si="14"/>
        <v>0</v>
      </c>
      <c r="BF179" s="45" t="str">
        <f t="shared" si="15"/>
        <v>#DIV/0!</v>
      </c>
      <c r="BH179" s="45">
        <f t="shared" si="16"/>
        <v>0</v>
      </c>
      <c r="BI179" s="45">
        <f t="shared" si="17"/>
        <v>0</v>
      </c>
      <c r="BJ179" s="45" t="str">
        <f t="shared" si="18"/>
        <v>#DIV/0!</v>
      </c>
    </row>
    <row r="180" ht="15.75" customHeight="1">
      <c r="A180" s="52">
        <v>169.0</v>
      </c>
      <c r="B180" s="110"/>
      <c r="C180" s="110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52">
        <f t="shared" si="1"/>
        <v>0</v>
      </c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52">
        <f t="shared" si="2"/>
        <v>0</v>
      </c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/>
      <c r="AN180" s="113"/>
      <c r="AO180" s="113"/>
      <c r="AP180" s="52">
        <f t="shared" si="3"/>
        <v>0</v>
      </c>
      <c r="AR180" s="45">
        <f t="shared" si="4"/>
        <v>0</v>
      </c>
      <c r="AS180" s="45">
        <f t="shared" si="5"/>
        <v>0</v>
      </c>
      <c r="AT180" s="45" t="str">
        <f t="shared" si="6"/>
        <v>#DIV/0!</v>
      </c>
      <c r="AV180" s="45">
        <f t="shared" si="7"/>
        <v>0</v>
      </c>
      <c r="AW180" s="45">
        <f t="shared" si="8"/>
        <v>0</v>
      </c>
      <c r="AX180" s="45" t="str">
        <f t="shared" si="9"/>
        <v>#DIV/0!</v>
      </c>
      <c r="AZ180" s="45">
        <f t="shared" si="10"/>
        <v>0</v>
      </c>
      <c r="BA180" s="45">
        <f t="shared" si="11"/>
        <v>0</v>
      </c>
      <c r="BB180" s="45" t="str">
        <f t="shared" si="12"/>
        <v>#DIV/0!</v>
      </c>
      <c r="BD180" s="45">
        <f t="shared" si="13"/>
        <v>0</v>
      </c>
      <c r="BE180" s="45">
        <f t="shared" si="14"/>
        <v>0</v>
      </c>
      <c r="BF180" s="45" t="str">
        <f t="shared" si="15"/>
        <v>#DIV/0!</v>
      </c>
      <c r="BH180" s="45">
        <f t="shared" si="16"/>
        <v>0</v>
      </c>
      <c r="BI180" s="45">
        <f t="shared" si="17"/>
        <v>0</v>
      </c>
      <c r="BJ180" s="45" t="str">
        <f t="shared" si="18"/>
        <v>#DIV/0!</v>
      </c>
    </row>
    <row r="181" ht="15.75" customHeight="1">
      <c r="A181" s="52">
        <v>170.0</v>
      </c>
      <c r="B181" s="110"/>
      <c r="C181" s="110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52">
        <f t="shared" si="1"/>
        <v>0</v>
      </c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52">
        <f t="shared" si="2"/>
        <v>0</v>
      </c>
      <c r="AD181" s="113"/>
      <c r="AE181" s="113"/>
      <c r="AF181" s="113"/>
      <c r="AG181" s="113"/>
      <c r="AH181" s="113"/>
      <c r="AI181" s="113"/>
      <c r="AJ181" s="113"/>
      <c r="AK181" s="113"/>
      <c r="AL181" s="113"/>
      <c r="AM181" s="113"/>
      <c r="AN181" s="113"/>
      <c r="AO181" s="113"/>
      <c r="AP181" s="52">
        <f t="shared" si="3"/>
        <v>0</v>
      </c>
      <c r="AR181" s="45">
        <f t="shared" si="4"/>
        <v>0</v>
      </c>
      <c r="AS181" s="45">
        <f t="shared" si="5"/>
        <v>0</v>
      </c>
      <c r="AT181" s="45" t="str">
        <f t="shared" si="6"/>
        <v>#DIV/0!</v>
      </c>
      <c r="AV181" s="45">
        <f t="shared" si="7"/>
        <v>0</v>
      </c>
      <c r="AW181" s="45">
        <f t="shared" si="8"/>
        <v>0</v>
      </c>
      <c r="AX181" s="45" t="str">
        <f t="shared" si="9"/>
        <v>#DIV/0!</v>
      </c>
      <c r="AZ181" s="45">
        <f t="shared" si="10"/>
        <v>0</v>
      </c>
      <c r="BA181" s="45">
        <f t="shared" si="11"/>
        <v>0</v>
      </c>
      <c r="BB181" s="45" t="str">
        <f t="shared" si="12"/>
        <v>#DIV/0!</v>
      </c>
      <c r="BD181" s="45">
        <f t="shared" si="13"/>
        <v>0</v>
      </c>
      <c r="BE181" s="45">
        <f t="shared" si="14"/>
        <v>0</v>
      </c>
      <c r="BF181" s="45" t="str">
        <f t="shared" si="15"/>
        <v>#DIV/0!</v>
      </c>
      <c r="BH181" s="45">
        <f t="shared" si="16"/>
        <v>0</v>
      </c>
      <c r="BI181" s="45">
        <f t="shared" si="17"/>
        <v>0</v>
      </c>
      <c r="BJ181" s="45" t="str">
        <f t="shared" si="18"/>
        <v>#DIV/0!</v>
      </c>
    </row>
    <row r="182" ht="15.75" customHeight="1">
      <c r="A182" s="52">
        <v>171.0</v>
      </c>
      <c r="B182" s="110"/>
      <c r="C182" s="110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52">
        <f t="shared" si="1"/>
        <v>0</v>
      </c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52">
        <f t="shared" si="2"/>
        <v>0</v>
      </c>
      <c r="AD182" s="113"/>
      <c r="AE182" s="113"/>
      <c r="AF182" s="113"/>
      <c r="AG182" s="113"/>
      <c r="AH182" s="113"/>
      <c r="AI182" s="113"/>
      <c r="AJ182" s="113"/>
      <c r="AK182" s="113"/>
      <c r="AL182" s="113"/>
      <c r="AM182" s="113"/>
      <c r="AN182" s="113"/>
      <c r="AO182" s="113"/>
      <c r="AP182" s="52">
        <f t="shared" si="3"/>
        <v>0</v>
      </c>
      <c r="AR182" s="45">
        <f t="shared" si="4"/>
        <v>0</v>
      </c>
      <c r="AS182" s="45">
        <f t="shared" si="5"/>
        <v>0</v>
      </c>
      <c r="AT182" s="45" t="str">
        <f t="shared" si="6"/>
        <v>#DIV/0!</v>
      </c>
      <c r="AV182" s="45">
        <f t="shared" si="7"/>
        <v>0</v>
      </c>
      <c r="AW182" s="45">
        <f t="shared" si="8"/>
        <v>0</v>
      </c>
      <c r="AX182" s="45" t="str">
        <f t="shared" si="9"/>
        <v>#DIV/0!</v>
      </c>
      <c r="AZ182" s="45">
        <f t="shared" si="10"/>
        <v>0</v>
      </c>
      <c r="BA182" s="45">
        <f t="shared" si="11"/>
        <v>0</v>
      </c>
      <c r="BB182" s="45" t="str">
        <f t="shared" si="12"/>
        <v>#DIV/0!</v>
      </c>
      <c r="BD182" s="45">
        <f t="shared" si="13"/>
        <v>0</v>
      </c>
      <c r="BE182" s="45">
        <f t="shared" si="14"/>
        <v>0</v>
      </c>
      <c r="BF182" s="45" t="str">
        <f t="shared" si="15"/>
        <v>#DIV/0!</v>
      </c>
      <c r="BH182" s="45">
        <f t="shared" si="16"/>
        <v>0</v>
      </c>
      <c r="BI182" s="45">
        <f t="shared" si="17"/>
        <v>0</v>
      </c>
      <c r="BJ182" s="45" t="str">
        <f t="shared" si="18"/>
        <v>#DIV/0!</v>
      </c>
    </row>
    <row r="183" ht="15.75" customHeight="1">
      <c r="A183" s="52">
        <v>172.0</v>
      </c>
      <c r="B183" s="110"/>
      <c r="C183" s="110"/>
      <c r="D183" s="115"/>
      <c r="E183" s="115"/>
      <c r="F183" s="115"/>
      <c r="G183" s="45"/>
      <c r="H183" s="45"/>
      <c r="I183" s="45"/>
      <c r="J183" s="115"/>
      <c r="K183" s="115"/>
      <c r="L183" s="115"/>
      <c r="M183" s="45"/>
      <c r="N183" s="45"/>
      <c r="O183" s="45"/>
      <c r="P183" s="52">
        <f t="shared" si="1"/>
        <v>0</v>
      </c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52">
        <f t="shared" si="2"/>
        <v>0</v>
      </c>
      <c r="AD183" s="113"/>
      <c r="AE183" s="113"/>
      <c r="AF183" s="113"/>
      <c r="AG183" s="113"/>
      <c r="AH183" s="113"/>
      <c r="AI183" s="113"/>
      <c r="AJ183" s="113"/>
      <c r="AK183" s="113"/>
      <c r="AL183" s="113"/>
      <c r="AM183" s="113"/>
      <c r="AN183" s="113"/>
      <c r="AO183" s="113"/>
      <c r="AP183" s="52">
        <f t="shared" si="3"/>
        <v>0</v>
      </c>
      <c r="AR183" s="45">
        <f t="shared" si="4"/>
        <v>0</v>
      </c>
      <c r="AS183" s="45">
        <f t="shared" si="5"/>
        <v>0</v>
      </c>
      <c r="AT183" s="45" t="str">
        <f t="shared" si="6"/>
        <v>#DIV/0!</v>
      </c>
      <c r="AV183" s="45">
        <f t="shared" si="7"/>
        <v>0</v>
      </c>
      <c r="AW183" s="45">
        <f t="shared" si="8"/>
        <v>0</v>
      </c>
      <c r="AX183" s="45" t="str">
        <f t="shared" si="9"/>
        <v>#DIV/0!</v>
      </c>
      <c r="AZ183" s="45">
        <f t="shared" si="10"/>
        <v>0</v>
      </c>
      <c r="BA183" s="45">
        <f t="shared" si="11"/>
        <v>0</v>
      </c>
      <c r="BB183" s="45" t="str">
        <f t="shared" si="12"/>
        <v>#DIV/0!</v>
      </c>
      <c r="BD183" s="45">
        <f t="shared" si="13"/>
        <v>0</v>
      </c>
      <c r="BE183" s="45">
        <f t="shared" si="14"/>
        <v>0</v>
      </c>
      <c r="BF183" s="45" t="str">
        <f t="shared" si="15"/>
        <v>#DIV/0!</v>
      </c>
      <c r="BH183" s="45">
        <f t="shared" si="16"/>
        <v>0</v>
      </c>
      <c r="BI183" s="45">
        <f t="shared" si="17"/>
        <v>0</v>
      </c>
      <c r="BJ183" s="45" t="str">
        <f t="shared" si="18"/>
        <v>#DIV/0!</v>
      </c>
    </row>
    <row r="184" ht="15.75" customHeight="1">
      <c r="A184" s="52">
        <v>173.0</v>
      </c>
      <c r="B184" s="110"/>
      <c r="C184" s="110"/>
      <c r="D184" s="115"/>
      <c r="E184" s="115"/>
      <c r="F184" s="115"/>
      <c r="G184" s="45"/>
      <c r="H184" s="45"/>
      <c r="I184" s="45"/>
      <c r="J184" s="45"/>
      <c r="K184" s="45"/>
      <c r="L184" s="45"/>
      <c r="M184" s="45"/>
      <c r="N184" s="45"/>
      <c r="O184" s="45"/>
      <c r="P184" s="52">
        <f t="shared" si="1"/>
        <v>0</v>
      </c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52">
        <f t="shared" si="2"/>
        <v>0</v>
      </c>
      <c r="AD184" s="113"/>
      <c r="AE184" s="113"/>
      <c r="AF184" s="113"/>
      <c r="AG184" s="113"/>
      <c r="AH184" s="113"/>
      <c r="AI184" s="113"/>
      <c r="AJ184" s="113"/>
      <c r="AK184" s="113"/>
      <c r="AL184" s="113"/>
      <c r="AM184" s="113"/>
      <c r="AN184" s="113"/>
      <c r="AO184" s="113"/>
      <c r="AP184" s="52">
        <f t="shared" si="3"/>
        <v>0</v>
      </c>
      <c r="AR184" s="45">
        <f t="shared" si="4"/>
        <v>0</v>
      </c>
      <c r="AS184" s="45">
        <f t="shared" si="5"/>
        <v>0</v>
      </c>
      <c r="AT184" s="45" t="str">
        <f t="shared" si="6"/>
        <v>#DIV/0!</v>
      </c>
      <c r="AV184" s="45">
        <f t="shared" si="7"/>
        <v>0</v>
      </c>
      <c r="AW184" s="45">
        <f t="shared" si="8"/>
        <v>0</v>
      </c>
      <c r="AX184" s="45" t="str">
        <f t="shared" si="9"/>
        <v>#DIV/0!</v>
      </c>
      <c r="AZ184" s="45">
        <f t="shared" si="10"/>
        <v>0</v>
      </c>
      <c r="BA184" s="45">
        <f t="shared" si="11"/>
        <v>0</v>
      </c>
      <c r="BB184" s="45" t="str">
        <f t="shared" si="12"/>
        <v>#DIV/0!</v>
      </c>
      <c r="BD184" s="45">
        <f t="shared" si="13"/>
        <v>0</v>
      </c>
      <c r="BE184" s="45">
        <f t="shared" si="14"/>
        <v>0</v>
      </c>
      <c r="BF184" s="45" t="str">
        <f t="shared" si="15"/>
        <v>#DIV/0!</v>
      </c>
      <c r="BH184" s="45">
        <f t="shared" si="16"/>
        <v>0</v>
      </c>
      <c r="BI184" s="45">
        <f t="shared" si="17"/>
        <v>0</v>
      </c>
      <c r="BJ184" s="45" t="str">
        <f t="shared" si="18"/>
        <v>#DIV/0!</v>
      </c>
    </row>
    <row r="185" ht="15.75" customHeight="1">
      <c r="A185" s="52">
        <v>174.0</v>
      </c>
      <c r="B185" s="110"/>
      <c r="C185" s="110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52">
        <f t="shared" si="1"/>
        <v>0</v>
      </c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52">
        <f t="shared" si="2"/>
        <v>0</v>
      </c>
      <c r="AD185" s="113"/>
      <c r="AE185" s="113"/>
      <c r="AF185" s="113"/>
      <c r="AG185" s="113"/>
      <c r="AH185" s="113"/>
      <c r="AI185" s="113"/>
      <c r="AJ185" s="113"/>
      <c r="AK185" s="113"/>
      <c r="AL185" s="113"/>
      <c r="AM185" s="113"/>
      <c r="AN185" s="113"/>
      <c r="AO185" s="113"/>
      <c r="AP185" s="52">
        <f t="shared" si="3"/>
        <v>0</v>
      </c>
      <c r="AR185" s="45">
        <f t="shared" si="4"/>
        <v>0</v>
      </c>
      <c r="AS185" s="45">
        <f t="shared" si="5"/>
        <v>0</v>
      </c>
      <c r="AT185" s="45" t="str">
        <f t="shared" si="6"/>
        <v>#DIV/0!</v>
      </c>
      <c r="AV185" s="45">
        <f t="shared" si="7"/>
        <v>0</v>
      </c>
      <c r="AW185" s="45">
        <f t="shared" si="8"/>
        <v>0</v>
      </c>
      <c r="AX185" s="45" t="str">
        <f t="shared" si="9"/>
        <v>#DIV/0!</v>
      </c>
      <c r="AZ185" s="45">
        <f t="shared" si="10"/>
        <v>0</v>
      </c>
      <c r="BA185" s="45">
        <f t="shared" si="11"/>
        <v>0</v>
      </c>
      <c r="BB185" s="45" t="str">
        <f t="shared" si="12"/>
        <v>#DIV/0!</v>
      </c>
      <c r="BD185" s="45">
        <f t="shared" si="13"/>
        <v>0</v>
      </c>
      <c r="BE185" s="45">
        <f t="shared" si="14"/>
        <v>0</v>
      </c>
      <c r="BF185" s="45" t="str">
        <f t="shared" si="15"/>
        <v>#DIV/0!</v>
      </c>
      <c r="BH185" s="45">
        <f t="shared" si="16"/>
        <v>0</v>
      </c>
      <c r="BI185" s="45">
        <f t="shared" si="17"/>
        <v>0</v>
      </c>
      <c r="BJ185" s="45" t="str">
        <f t="shared" si="18"/>
        <v>#DIV/0!</v>
      </c>
    </row>
    <row r="186" ht="15.75" customHeight="1">
      <c r="A186" s="52">
        <v>175.0</v>
      </c>
      <c r="B186" s="110"/>
      <c r="C186" s="110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52">
        <f t="shared" si="1"/>
        <v>0</v>
      </c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52">
        <f t="shared" si="2"/>
        <v>0</v>
      </c>
      <c r="AD186" s="113"/>
      <c r="AE186" s="113"/>
      <c r="AF186" s="113"/>
      <c r="AG186" s="113"/>
      <c r="AH186" s="113"/>
      <c r="AI186" s="113"/>
      <c r="AJ186" s="113"/>
      <c r="AK186" s="113"/>
      <c r="AL186" s="113"/>
      <c r="AM186" s="113"/>
      <c r="AN186" s="113"/>
      <c r="AO186" s="113"/>
      <c r="AP186" s="52">
        <f t="shared" si="3"/>
        <v>0</v>
      </c>
      <c r="AR186" s="45">
        <f t="shared" si="4"/>
        <v>0</v>
      </c>
      <c r="AS186" s="45">
        <f t="shared" si="5"/>
        <v>0</v>
      </c>
      <c r="AT186" s="45" t="str">
        <f t="shared" si="6"/>
        <v>#DIV/0!</v>
      </c>
      <c r="AV186" s="45">
        <f t="shared" si="7"/>
        <v>0</v>
      </c>
      <c r="AW186" s="45">
        <f t="shared" si="8"/>
        <v>0</v>
      </c>
      <c r="AX186" s="45" t="str">
        <f t="shared" si="9"/>
        <v>#DIV/0!</v>
      </c>
      <c r="AZ186" s="45">
        <f t="shared" si="10"/>
        <v>0</v>
      </c>
      <c r="BA186" s="45">
        <f t="shared" si="11"/>
        <v>0</v>
      </c>
      <c r="BB186" s="45" t="str">
        <f t="shared" si="12"/>
        <v>#DIV/0!</v>
      </c>
      <c r="BD186" s="45">
        <f t="shared" si="13"/>
        <v>0</v>
      </c>
      <c r="BE186" s="45">
        <f t="shared" si="14"/>
        <v>0</v>
      </c>
      <c r="BF186" s="45" t="str">
        <f t="shared" si="15"/>
        <v>#DIV/0!</v>
      </c>
      <c r="BH186" s="45">
        <f t="shared" si="16"/>
        <v>0</v>
      </c>
      <c r="BI186" s="45">
        <f t="shared" si="17"/>
        <v>0</v>
      </c>
      <c r="BJ186" s="45" t="str">
        <f t="shared" si="18"/>
        <v>#DIV/0!</v>
      </c>
    </row>
    <row r="187" ht="15.75" customHeight="1">
      <c r="A187" s="52">
        <v>176.0</v>
      </c>
      <c r="B187" s="110"/>
      <c r="C187" s="110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52">
        <f t="shared" si="1"/>
        <v>0</v>
      </c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52">
        <f t="shared" si="2"/>
        <v>0</v>
      </c>
      <c r="AD187" s="113"/>
      <c r="AE187" s="113"/>
      <c r="AF187" s="113"/>
      <c r="AG187" s="113"/>
      <c r="AH187" s="113"/>
      <c r="AI187" s="113"/>
      <c r="AJ187" s="113"/>
      <c r="AK187" s="113"/>
      <c r="AL187" s="113"/>
      <c r="AM187" s="113"/>
      <c r="AN187" s="113"/>
      <c r="AO187" s="113"/>
      <c r="AP187" s="52">
        <f t="shared" si="3"/>
        <v>0</v>
      </c>
      <c r="AR187" s="45">
        <f t="shared" si="4"/>
        <v>0</v>
      </c>
      <c r="AS187" s="45">
        <f t="shared" si="5"/>
        <v>0</v>
      </c>
      <c r="AT187" s="45" t="str">
        <f t="shared" si="6"/>
        <v>#DIV/0!</v>
      </c>
      <c r="AV187" s="45">
        <f t="shared" si="7"/>
        <v>0</v>
      </c>
      <c r="AW187" s="45">
        <f t="shared" si="8"/>
        <v>0</v>
      </c>
      <c r="AX187" s="45" t="str">
        <f t="shared" si="9"/>
        <v>#DIV/0!</v>
      </c>
      <c r="AZ187" s="45">
        <f t="shared" si="10"/>
        <v>0</v>
      </c>
      <c r="BA187" s="45">
        <f t="shared" si="11"/>
        <v>0</v>
      </c>
      <c r="BB187" s="45" t="str">
        <f t="shared" si="12"/>
        <v>#DIV/0!</v>
      </c>
      <c r="BD187" s="45">
        <f t="shared" si="13"/>
        <v>0</v>
      </c>
      <c r="BE187" s="45">
        <f t="shared" si="14"/>
        <v>0</v>
      </c>
      <c r="BF187" s="45" t="str">
        <f t="shared" si="15"/>
        <v>#DIV/0!</v>
      </c>
      <c r="BH187" s="45">
        <f t="shared" si="16"/>
        <v>0</v>
      </c>
      <c r="BI187" s="45">
        <f t="shared" si="17"/>
        <v>0</v>
      </c>
      <c r="BJ187" s="45" t="str">
        <f t="shared" si="18"/>
        <v>#DIV/0!</v>
      </c>
    </row>
    <row r="188" ht="15.75" customHeight="1">
      <c r="A188" s="52">
        <v>177.0</v>
      </c>
      <c r="B188" s="110"/>
      <c r="C188" s="110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52">
        <f t="shared" si="1"/>
        <v>0</v>
      </c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52">
        <f t="shared" si="2"/>
        <v>0</v>
      </c>
      <c r="AD188" s="113"/>
      <c r="AE188" s="113"/>
      <c r="AF188" s="113"/>
      <c r="AG188" s="113"/>
      <c r="AH188" s="113"/>
      <c r="AI188" s="113"/>
      <c r="AJ188" s="113"/>
      <c r="AK188" s="113"/>
      <c r="AL188" s="113"/>
      <c r="AM188" s="113"/>
      <c r="AN188" s="113"/>
      <c r="AO188" s="113"/>
      <c r="AP188" s="52">
        <f t="shared" si="3"/>
        <v>0</v>
      </c>
      <c r="AR188" s="45">
        <f t="shared" si="4"/>
        <v>0</v>
      </c>
      <c r="AS188" s="45">
        <f t="shared" si="5"/>
        <v>0</v>
      </c>
      <c r="AT188" s="45" t="str">
        <f t="shared" si="6"/>
        <v>#DIV/0!</v>
      </c>
      <c r="AV188" s="45">
        <f t="shared" si="7"/>
        <v>0</v>
      </c>
      <c r="AW188" s="45">
        <f t="shared" si="8"/>
        <v>0</v>
      </c>
      <c r="AX188" s="45" t="str">
        <f t="shared" si="9"/>
        <v>#DIV/0!</v>
      </c>
      <c r="AZ188" s="45">
        <f t="shared" si="10"/>
        <v>0</v>
      </c>
      <c r="BA188" s="45">
        <f t="shared" si="11"/>
        <v>0</v>
      </c>
      <c r="BB188" s="45" t="str">
        <f t="shared" si="12"/>
        <v>#DIV/0!</v>
      </c>
      <c r="BD188" s="45">
        <f t="shared" si="13"/>
        <v>0</v>
      </c>
      <c r="BE188" s="45">
        <f t="shared" si="14"/>
        <v>0</v>
      </c>
      <c r="BF188" s="45" t="str">
        <f t="shared" si="15"/>
        <v>#DIV/0!</v>
      </c>
      <c r="BH188" s="45">
        <f t="shared" si="16"/>
        <v>0</v>
      </c>
      <c r="BI188" s="45">
        <f t="shared" si="17"/>
        <v>0</v>
      </c>
      <c r="BJ188" s="45" t="str">
        <f t="shared" si="18"/>
        <v>#DIV/0!</v>
      </c>
    </row>
    <row r="189" ht="15.75" customHeight="1">
      <c r="A189" s="52">
        <v>178.0</v>
      </c>
      <c r="B189" s="110"/>
      <c r="C189" s="110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52">
        <f t="shared" si="1"/>
        <v>0</v>
      </c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52">
        <f t="shared" si="2"/>
        <v>0</v>
      </c>
      <c r="AD189" s="113"/>
      <c r="AE189" s="113"/>
      <c r="AF189" s="113"/>
      <c r="AG189" s="113"/>
      <c r="AH189" s="113"/>
      <c r="AI189" s="113"/>
      <c r="AJ189" s="113"/>
      <c r="AK189" s="113"/>
      <c r="AL189" s="113"/>
      <c r="AM189" s="113"/>
      <c r="AN189" s="113"/>
      <c r="AO189" s="113"/>
      <c r="AP189" s="52">
        <f t="shared" si="3"/>
        <v>0</v>
      </c>
      <c r="AR189" s="45">
        <f t="shared" si="4"/>
        <v>0</v>
      </c>
      <c r="AS189" s="45">
        <f t="shared" si="5"/>
        <v>0</v>
      </c>
      <c r="AT189" s="45" t="str">
        <f t="shared" si="6"/>
        <v>#DIV/0!</v>
      </c>
      <c r="AV189" s="45">
        <f t="shared" si="7"/>
        <v>0</v>
      </c>
      <c r="AW189" s="45">
        <f t="shared" si="8"/>
        <v>0</v>
      </c>
      <c r="AX189" s="45" t="str">
        <f t="shared" si="9"/>
        <v>#DIV/0!</v>
      </c>
      <c r="AZ189" s="45">
        <f t="shared" si="10"/>
        <v>0</v>
      </c>
      <c r="BA189" s="45">
        <f t="shared" si="11"/>
        <v>0</v>
      </c>
      <c r="BB189" s="45" t="str">
        <f t="shared" si="12"/>
        <v>#DIV/0!</v>
      </c>
      <c r="BD189" s="45">
        <f t="shared" si="13"/>
        <v>0</v>
      </c>
      <c r="BE189" s="45">
        <f t="shared" si="14"/>
        <v>0</v>
      </c>
      <c r="BF189" s="45" t="str">
        <f t="shared" si="15"/>
        <v>#DIV/0!</v>
      </c>
      <c r="BH189" s="45">
        <f t="shared" si="16"/>
        <v>0</v>
      </c>
      <c r="BI189" s="45">
        <f t="shared" si="17"/>
        <v>0</v>
      </c>
      <c r="BJ189" s="45" t="str">
        <f t="shared" si="18"/>
        <v>#DIV/0!</v>
      </c>
    </row>
    <row r="190" ht="15.75" customHeight="1">
      <c r="A190" s="52">
        <v>179.0</v>
      </c>
      <c r="B190" s="110"/>
      <c r="C190" s="110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52">
        <f t="shared" si="1"/>
        <v>0</v>
      </c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52">
        <f t="shared" si="2"/>
        <v>0</v>
      </c>
      <c r="AD190" s="113"/>
      <c r="AE190" s="113"/>
      <c r="AF190" s="113"/>
      <c r="AG190" s="113"/>
      <c r="AH190" s="113"/>
      <c r="AI190" s="113"/>
      <c r="AJ190" s="113"/>
      <c r="AK190" s="113"/>
      <c r="AL190" s="113"/>
      <c r="AM190" s="113"/>
      <c r="AN190" s="113"/>
      <c r="AO190" s="113"/>
      <c r="AP190" s="52">
        <f t="shared" si="3"/>
        <v>0</v>
      </c>
      <c r="AR190" s="45">
        <f t="shared" si="4"/>
        <v>0</v>
      </c>
      <c r="AS190" s="45">
        <f t="shared" si="5"/>
        <v>0</v>
      </c>
      <c r="AT190" s="45" t="str">
        <f t="shared" si="6"/>
        <v>#DIV/0!</v>
      </c>
      <c r="AV190" s="45">
        <f t="shared" si="7"/>
        <v>0</v>
      </c>
      <c r="AW190" s="45">
        <f t="shared" si="8"/>
        <v>0</v>
      </c>
      <c r="AX190" s="45" t="str">
        <f t="shared" si="9"/>
        <v>#DIV/0!</v>
      </c>
      <c r="AZ190" s="45">
        <f t="shared" si="10"/>
        <v>0</v>
      </c>
      <c r="BA190" s="45">
        <f t="shared" si="11"/>
        <v>0</v>
      </c>
      <c r="BB190" s="45" t="str">
        <f t="shared" si="12"/>
        <v>#DIV/0!</v>
      </c>
      <c r="BD190" s="45">
        <f t="shared" si="13"/>
        <v>0</v>
      </c>
      <c r="BE190" s="45">
        <f t="shared" si="14"/>
        <v>0</v>
      </c>
      <c r="BF190" s="45" t="str">
        <f t="shared" si="15"/>
        <v>#DIV/0!</v>
      </c>
      <c r="BH190" s="45">
        <f t="shared" si="16"/>
        <v>0</v>
      </c>
      <c r="BI190" s="45">
        <f t="shared" si="17"/>
        <v>0</v>
      </c>
      <c r="BJ190" s="45" t="str">
        <f t="shared" si="18"/>
        <v>#DIV/0!</v>
      </c>
    </row>
    <row r="191" ht="15.75" customHeight="1">
      <c r="A191" s="52">
        <v>180.0</v>
      </c>
      <c r="B191" s="110"/>
      <c r="C191" s="110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52">
        <f t="shared" si="1"/>
        <v>0</v>
      </c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52">
        <f t="shared" si="2"/>
        <v>0</v>
      </c>
      <c r="AD191" s="113"/>
      <c r="AE191" s="113"/>
      <c r="AF191" s="113"/>
      <c r="AG191" s="113"/>
      <c r="AH191" s="113"/>
      <c r="AI191" s="113"/>
      <c r="AJ191" s="113"/>
      <c r="AK191" s="113"/>
      <c r="AL191" s="113"/>
      <c r="AM191" s="113"/>
      <c r="AN191" s="113"/>
      <c r="AO191" s="113"/>
      <c r="AP191" s="52">
        <f t="shared" si="3"/>
        <v>0</v>
      </c>
      <c r="AR191" s="45">
        <f t="shared" si="4"/>
        <v>0</v>
      </c>
      <c r="AS191" s="45">
        <f t="shared" si="5"/>
        <v>0</v>
      </c>
      <c r="AT191" s="45" t="str">
        <f t="shared" si="6"/>
        <v>#DIV/0!</v>
      </c>
      <c r="AV191" s="45">
        <f t="shared" si="7"/>
        <v>0</v>
      </c>
      <c r="AW191" s="45">
        <f t="shared" si="8"/>
        <v>0</v>
      </c>
      <c r="AX191" s="45" t="str">
        <f t="shared" si="9"/>
        <v>#DIV/0!</v>
      </c>
      <c r="AZ191" s="45">
        <f t="shared" si="10"/>
        <v>0</v>
      </c>
      <c r="BA191" s="45">
        <f t="shared" si="11"/>
        <v>0</v>
      </c>
      <c r="BB191" s="45" t="str">
        <f t="shared" si="12"/>
        <v>#DIV/0!</v>
      </c>
      <c r="BD191" s="45">
        <f t="shared" si="13"/>
        <v>0</v>
      </c>
      <c r="BE191" s="45">
        <f t="shared" si="14"/>
        <v>0</v>
      </c>
      <c r="BF191" s="45" t="str">
        <f t="shared" si="15"/>
        <v>#DIV/0!</v>
      </c>
      <c r="BH191" s="45">
        <f t="shared" si="16"/>
        <v>0</v>
      </c>
      <c r="BI191" s="45">
        <f t="shared" si="17"/>
        <v>0</v>
      </c>
      <c r="BJ191" s="45" t="str">
        <f t="shared" si="18"/>
        <v>#DIV/0!</v>
      </c>
    </row>
    <row r="192" ht="15.75" customHeight="1">
      <c r="A192" s="52">
        <v>181.0</v>
      </c>
      <c r="B192" s="110"/>
      <c r="C192" s="110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52">
        <f t="shared" si="1"/>
        <v>0</v>
      </c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52">
        <f t="shared" si="2"/>
        <v>0</v>
      </c>
      <c r="AD192" s="113"/>
      <c r="AE192" s="113"/>
      <c r="AF192" s="113"/>
      <c r="AG192" s="113"/>
      <c r="AH192" s="113"/>
      <c r="AI192" s="113"/>
      <c r="AJ192" s="113"/>
      <c r="AK192" s="113"/>
      <c r="AL192" s="113"/>
      <c r="AM192" s="113"/>
      <c r="AN192" s="113"/>
      <c r="AO192" s="113"/>
      <c r="AP192" s="52">
        <f t="shared" si="3"/>
        <v>0</v>
      </c>
      <c r="AR192" s="45">
        <f t="shared" si="4"/>
        <v>0</v>
      </c>
      <c r="AS192" s="45">
        <f t="shared" si="5"/>
        <v>0</v>
      </c>
      <c r="AT192" s="45" t="str">
        <f t="shared" si="6"/>
        <v>#DIV/0!</v>
      </c>
      <c r="AV192" s="45">
        <f t="shared" si="7"/>
        <v>0</v>
      </c>
      <c r="AW192" s="45">
        <f t="shared" si="8"/>
        <v>0</v>
      </c>
      <c r="AX192" s="45" t="str">
        <f t="shared" si="9"/>
        <v>#DIV/0!</v>
      </c>
      <c r="AZ192" s="45">
        <f t="shared" si="10"/>
        <v>0</v>
      </c>
      <c r="BA192" s="45">
        <f t="shared" si="11"/>
        <v>0</v>
      </c>
      <c r="BB192" s="45" t="str">
        <f t="shared" si="12"/>
        <v>#DIV/0!</v>
      </c>
      <c r="BD192" s="45">
        <f t="shared" si="13"/>
        <v>0</v>
      </c>
      <c r="BE192" s="45">
        <f t="shared" si="14"/>
        <v>0</v>
      </c>
      <c r="BF192" s="45" t="str">
        <f t="shared" si="15"/>
        <v>#DIV/0!</v>
      </c>
      <c r="BH192" s="45">
        <f t="shared" si="16"/>
        <v>0</v>
      </c>
      <c r="BI192" s="45">
        <f t="shared" si="17"/>
        <v>0</v>
      </c>
      <c r="BJ192" s="45" t="str">
        <f t="shared" si="18"/>
        <v>#DIV/0!</v>
      </c>
    </row>
    <row r="193" ht="15.75" customHeight="1">
      <c r="A193" s="52">
        <v>182.0</v>
      </c>
      <c r="B193" s="110"/>
      <c r="C193" s="110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52">
        <f t="shared" si="1"/>
        <v>0</v>
      </c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52">
        <f t="shared" si="2"/>
        <v>0</v>
      </c>
      <c r="AD193" s="113"/>
      <c r="AE193" s="113"/>
      <c r="AF193" s="113"/>
      <c r="AG193" s="113"/>
      <c r="AH193" s="113"/>
      <c r="AI193" s="113"/>
      <c r="AJ193" s="113"/>
      <c r="AK193" s="113"/>
      <c r="AL193" s="113"/>
      <c r="AM193" s="113"/>
      <c r="AN193" s="113"/>
      <c r="AO193" s="113"/>
      <c r="AP193" s="52">
        <f t="shared" si="3"/>
        <v>0</v>
      </c>
      <c r="AR193" s="45">
        <f t="shared" si="4"/>
        <v>0</v>
      </c>
      <c r="AS193" s="45">
        <f t="shared" si="5"/>
        <v>0</v>
      </c>
      <c r="AT193" s="45" t="str">
        <f t="shared" si="6"/>
        <v>#DIV/0!</v>
      </c>
      <c r="AV193" s="45">
        <f t="shared" si="7"/>
        <v>0</v>
      </c>
      <c r="AW193" s="45">
        <f t="shared" si="8"/>
        <v>0</v>
      </c>
      <c r="AX193" s="45" t="str">
        <f t="shared" si="9"/>
        <v>#DIV/0!</v>
      </c>
      <c r="AZ193" s="45">
        <f t="shared" si="10"/>
        <v>0</v>
      </c>
      <c r="BA193" s="45">
        <f t="shared" si="11"/>
        <v>0</v>
      </c>
      <c r="BB193" s="45" t="str">
        <f t="shared" si="12"/>
        <v>#DIV/0!</v>
      </c>
      <c r="BD193" s="45">
        <f t="shared" si="13"/>
        <v>0</v>
      </c>
      <c r="BE193" s="45">
        <f t="shared" si="14"/>
        <v>0</v>
      </c>
      <c r="BF193" s="45" t="str">
        <f t="shared" si="15"/>
        <v>#DIV/0!</v>
      </c>
      <c r="BH193" s="45">
        <f t="shared" si="16"/>
        <v>0</v>
      </c>
      <c r="BI193" s="45">
        <f t="shared" si="17"/>
        <v>0</v>
      </c>
      <c r="BJ193" s="45" t="str">
        <f t="shared" si="18"/>
        <v>#DIV/0!</v>
      </c>
    </row>
    <row r="194" ht="15.75" customHeight="1">
      <c r="A194" s="52">
        <v>183.0</v>
      </c>
      <c r="B194" s="110"/>
      <c r="C194" s="110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52">
        <f t="shared" si="1"/>
        <v>0</v>
      </c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52">
        <f t="shared" si="2"/>
        <v>0</v>
      </c>
      <c r="AD194" s="113"/>
      <c r="AE194" s="113"/>
      <c r="AF194" s="113"/>
      <c r="AG194" s="113"/>
      <c r="AH194" s="113"/>
      <c r="AI194" s="113"/>
      <c r="AJ194" s="113"/>
      <c r="AK194" s="113"/>
      <c r="AL194" s="113"/>
      <c r="AM194" s="113"/>
      <c r="AN194" s="113"/>
      <c r="AO194" s="113"/>
      <c r="AP194" s="52">
        <f t="shared" si="3"/>
        <v>0</v>
      </c>
      <c r="AR194" s="45">
        <f t="shared" si="4"/>
        <v>0</v>
      </c>
      <c r="AS194" s="45">
        <f t="shared" si="5"/>
        <v>0</v>
      </c>
      <c r="AT194" s="45" t="str">
        <f t="shared" si="6"/>
        <v>#DIV/0!</v>
      </c>
      <c r="AV194" s="45">
        <f t="shared" si="7"/>
        <v>0</v>
      </c>
      <c r="AW194" s="45">
        <f t="shared" si="8"/>
        <v>0</v>
      </c>
      <c r="AX194" s="45" t="str">
        <f t="shared" si="9"/>
        <v>#DIV/0!</v>
      </c>
      <c r="AZ194" s="45">
        <f t="shared" si="10"/>
        <v>0</v>
      </c>
      <c r="BA194" s="45">
        <f t="shared" si="11"/>
        <v>0</v>
      </c>
      <c r="BB194" s="45" t="str">
        <f t="shared" si="12"/>
        <v>#DIV/0!</v>
      </c>
      <c r="BD194" s="45">
        <f t="shared" si="13"/>
        <v>0</v>
      </c>
      <c r="BE194" s="45">
        <f t="shared" si="14"/>
        <v>0</v>
      </c>
      <c r="BF194" s="45" t="str">
        <f t="shared" si="15"/>
        <v>#DIV/0!</v>
      </c>
      <c r="BH194" s="45">
        <f t="shared" si="16"/>
        <v>0</v>
      </c>
      <c r="BI194" s="45">
        <f t="shared" si="17"/>
        <v>0</v>
      </c>
      <c r="BJ194" s="45" t="str">
        <f t="shared" si="18"/>
        <v>#DIV/0!</v>
      </c>
    </row>
    <row r="195" ht="15.75" customHeight="1">
      <c r="A195" s="52">
        <v>184.0</v>
      </c>
      <c r="B195" s="110"/>
      <c r="C195" s="110"/>
      <c r="D195" s="115"/>
      <c r="E195" s="115"/>
      <c r="F195" s="115"/>
      <c r="G195" s="45"/>
      <c r="H195" s="45"/>
      <c r="I195" s="45"/>
      <c r="J195" s="45"/>
      <c r="K195" s="45"/>
      <c r="L195" s="45"/>
      <c r="M195" s="45"/>
      <c r="N195" s="45"/>
      <c r="O195" s="45"/>
      <c r="P195" s="52">
        <f t="shared" si="1"/>
        <v>0</v>
      </c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52">
        <f t="shared" si="2"/>
        <v>0</v>
      </c>
      <c r="AD195" s="113"/>
      <c r="AE195" s="113"/>
      <c r="AF195" s="113"/>
      <c r="AG195" s="113"/>
      <c r="AH195" s="113"/>
      <c r="AI195" s="113"/>
      <c r="AJ195" s="113"/>
      <c r="AK195" s="113"/>
      <c r="AL195" s="113"/>
      <c r="AM195" s="113"/>
      <c r="AN195" s="113"/>
      <c r="AO195" s="113"/>
      <c r="AP195" s="52">
        <f t="shared" si="3"/>
        <v>0</v>
      </c>
      <c r="AR195" s="45">
        <f t="shared" si="4"/>
        <v>0</v>
      </c>
      <c r="AS195" s="45">
        <f t="shared" si="5"/>
        <v>0</v>
      </c>
      <c r="AT195" s="45" t="str">
        <f t="shared" si="6"/>
        <v>#DIV/0!</v>
      </c>
      <c r="AV195" s="45">
        <f t="shared" si="7"/>
        <v>0</v>
      </c>
      <c r="AW195" s="45">
        <f t="shared" si="8"/>
        <v>0</v>
      </c>
      <c r="AX195" s="45" t="str">
        <f t="shared" si="9"/>
        <v>#DIV/0!</v>
      </c>
      <c r="AZ195" s="45">
        <f t="shared" si="10"/>
        <v>0</v>
      </c>
      <c r="BA195" s="45">
        <f t="shared" si="11"/>
        <v>0</v>
      </c>
      <c r="BB195" s="45" t="str">
        <f t="shared" si="12"/>
        <v>#DIV/0!</v>
      </c>
      <c r="BD195" s="45">
        <f t="shared" si="13"/>
        <v>0</v>
      </c>
      <c r="BE195" s="45">
        <f t="shared" si="14"/>
        <v>0</v>
      </c>
      <c r="BF195" s="45" t="str">
        <f t="shared" si="15"/>
        <v>#DIV/0!</v>
      </c>
      <c r="BH195" s="45">
        <f t="shared" si="16"/>
        <v>0</v>
      </c>
      <c r="BI195" s="45">
        <f t="shared" si="17"/>
        <v>0</v>
      </c>
      <c r="BJ195" s="45" t="str">
        <f t="shared" si="18"/>
        <v>#DIV/0!</v>
      </c>
    </row>
    <row r="196" ht="15.75" customHeight="1">
      <c r="A196" s="52">
        <v>185.0</v>
      </c>
      <c r="B196" s="110"/>
      <c r="C196" s="110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52">
        <f t="shared" si="1"/>
        <v>0</v>
      </c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52">
        <f t="shared" si="2"/>
        <v>0</v>
      </c>
      <c r="AD196" s="113"/>
      <c r="AE196" s="113"/>
      <c r="AF196" s="113"/>
      <c r="AG196" s="113"/>
      <c r="AH196" s="113"/>
      <c r="AI196" s="113"/>
      <c r="AJ196" s="113"/>
      <c r="AK196" s="113"/>
      <c r="AL196" s="113"/>
      <c r="AM196" s="113"/>
      <c r="AN196" s="113"/>
      <c r="AO196" s="113"/>
      <c r="AP196" s="52">
        <f t="shared" si="3"/>
        <v>0</v>
      </c>
      <c r="AR196" s="45">
        <f t="shared" si="4"/>
        <v>0</v>
      </c>
      <c r="AS196" s="45">
        <f t="shared" si="5"/>
        <v>0</v>
      </c>
      <c r="AT196" s="45" t="str">
        <f t="shared" si="6"/>
        <v>#DIV/0!</v>
      </c>
      <c r="AV196" s="45">
        <f t="shared" si="7"/>
        <v>0</v>
      </c>
      <c r="AW196" s="45">
        <f t="shared" si="8"/>
        <v>0</v>
      </c>
      <c r="AX196" s="45" t="str">
        <f t="shared" si="9"/>
        <v>#DIV/0!</v>
      </c>
      <c r="AZ196" s="45">
        <f t="shared" si="10"/>
        <v>0</v>
      </c>
      <c r="BA196" s="45">
        <f t="shared" si="11"/>
        <v>0</v>
      </c>
      <c r="BB196" s="45" t="str">
        <f t="shared" si="12"/>
        <v>#DIV/0!</v>
      </c>
      <c r="BD196" s="45">
        <f t="shared" si="13"/>
        <v>0</v>
      </c>
      <c r="BE196" s="45">
        <f t="shared" si="14"/>
        <v>0</v>
      </c>
      <c r="BF196" s="45" t="str">
        <f t="shared" si="15"/>
        <v>#DIV/0!</v>
      </c>
      <c r="BH196" s="45">
        <f t="shared" si="16"/>
        <v>0</v>
      </c>
      <c r="BI196" s="45">
        <f t="shared" si="17"/>
        <v>0</v>
      </c>
      <c r="BJ196" s="45" t="str">
        <f t="shared" si="18"/>
        <v>#DIV/0!</v>
      </c>
    </row>
    <row r="197" ht="15.75" customHeight="1">
      <c r="A197" s="52">
        <v>186.0</v>
      </c>
      <c r="B197" s="110"/>
      <c r="C197" s="110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52">
        <f t="shared" si="1"/>
        <v>0</v>
      </c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52">
        <f t="shared" si="2"/>
        <v>0</v>
      </c>
      <c r="AD197" s="113"/>
      <c r="AE197" s="113"/>
      <c r="AF197" s="113"/>
      <c r="AG197" s="113"/>
      <c r="AH197" s="113"/>
      <c r="AI197" s="113"/>
      <c r="AJ197" s="113"/>
      <c r="AK197" s="113"/>
      <c r="AL197" s="113"/>
      <c r="AM197" s="113"/>
      <c r="AN197" s="113"/>
      <c r="AO197" s="113"/>
      <c r="AP197" s="52">
        <f t="shared" si="3"/>
        <v>0</v>
      </c>
      <c r="AR197" s="45">
        <f t="shared" si="4"/>
        <v>0</v>
      </c>
      <c r="AS197" s="45">
        <f t="shared" si="5"/>
        <v>0</v>
      </c>
      <c r="AT197" s="45" t="str">
        <f t="shared" si="6"/>
        <v>#DIV/0!</v>
      </c>
      <c r="AV197" s="45">
        <f t="shared" si="7"/>
        <v>0</v>
      </c>
      <c r="AW197" s="45">
        <f t="shared" si="8"/>
        <v>0</v>
      </c>
      <c r="AX197" s="45" t="str">
        <f t="shared" si="9"/>
        <v>#DIV/0!</v>
      </c>
      <c r="AZ197" s="45">
        <f t="shared" si="10"/>
        <v>0</v>
      </c>
      <c r="BA197" s="45">
        <f t="shared" si="11"/>
        <v>0</v>
      </c>
      <c r="BB197" s="45" t="str">
        <f t="shared" si="12"/>
        <v>#DIV/0!</v>
      </c>
      <c r="BD197" s="45">
        <f t="shared" si="13"/>
        <v>0</v>
      </c>
      <c r="BE197" s="45">
        <f t="shared" si="14"/>
        <v>0</v>
      </c>
      <c r="BF197" s="45" t="str">
        <f t="shared" si="15"/>
        <v>#DIV/0!</v>
      </c>
      <c r="BH197" s="45">
        <f t="shared" si="16"/>
        <v>0</v>
      </c>
      <c r="BI197" s="45">
        <f t="shared" si="17"/>
        <v>0</v>
      </c>
      <c r="BJ197" s="45" t="str">
        <f t="shared" si="18"/>
        <v>#DIV/0!</v>
      </c>
    </row>
    <row r="198" ht="15.75" customHeight="1">
      <c r="A198" s="52">
        <v>187.0</v>
      </c>
      <c r="B198" s="110"/>
      <c r="C198" s="110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52">
        <f t="shared" si="1"/>
        <v>0</v>
      </c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52">
        <f t="shared" si="2"/>
        <v>0</v>
      </c>
      <c r="AD198" s="113"/>
      <c r="AE198" s="113"/>
      <c r="AF198" s="113"/>
      <c r="AG198" s="113"/>
      <c r="AH198" s="113"/>
      <c r="AI198" s="113"/>
      <c r="AJ198" s="113"/>
      <c r="AK198" s="113"/>
      <c r="AL198" s="113"/>
      <c r="AM198" s="113"/>
      <c r="AN198" s="113"/>
      <c r="AO198" s="113"/>
      <c r="AP198" s="52">
        <f t="shared" si="3"/>
        <v>0</v>
      </c>
      <c r="AR198" s="45">
        <f t="shared" si="4"/>
        <v>0</v>
      </c>
      <c r="AS198" s="45">
        <f t="shared" si="5"/>
        <v>0</v>
      </c>
      <c r="AT198" s="45" t="str">
        <f t="shared" si="6"/>
        <v>#DIV/0!</v>
      </c>
      <c r="AV198" s="45">
        <f t="shared" si="7"/>
        <v>0</v>
      </c>
      <c r="AW198" s="45">
        <f t="shared" si="8"/>
        <v>0</v>
      </c>
      <c r="AX198" s="45" t="str">
        <f t="shared" si="9"/>
        <v>#DIV/0!</v>
      </c>
      <c r="AZ198" s="45">
        <f t="shared" si="10"/>
        <v>0</v>
      </c>
      <c r="BA198" s="45">
        <f t="shared" si="11"/>
        <v>0</v>
      </c>
      <c r="BB198" s="45" t="str">
        <f t="shared" si="12"/>
        <v>#DIV/0!</v>
      </c>
      <c r="BD198" s="45">
        <f t="shared" si="13"/>
        <v>0</v>
      </c>
      <c r="BE198" s="45">
        <f t="shared" si="14"/>
        <v>0</v>
      </c>
      <c r="BF198" s="45" t="str">
        <f t="shared" si="15"/>
        <v>#DIV/0!</v>
      </c>
      <c r="BH198" s="45">
        <f t="shared" si="16"/>
        <v>0</v>
      </c>
      <c r="BI198" s="45">
        <f t="shared" si="17"/>
        <v>0</v>
      </c>
      <c r="BJ198" s="45" t="str">
        <f t="shared" si="18"/>
        <v>#DIV/0!</v>
      </c>
    </row>
    <row r="199" ht="15.75" customHeight="1">
      <c r="A199" s="52">
        <v>188.0</v>
      </c>
      <c r="B199" s="110"/>
      <c r="C199" s="110"/>
      <c r="D199" s="115"/>
      <c r="E199" s="115"/>
      <c r="F199" s="115"/>
      <c r="G199" s="45"/>
      <c r="H199" s="45"/>
      <c r="I199" s="45"/>
      <c r="J199" s="115"/>
      <c r="K199" s="45"/>
      <c r="L199" s="45"/>
      <c r="M199" s="45"/>
      <c r="N199" s="45"/>
      <c r="O199" s="45"/>
      <c r="P199" s="52">
        <f t="shared" si="1"/>
        <v>0</v>
      </c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52">
        <f t="shared" si="2"/>
        <v>0</v>
      </c>
      <c r="AD199" s="113"/>
      <c r="AE199" s="113"/>
      <c r="AF199" s="113"/>
      <c r="AG199" s="113"/>
      <c r="AH199" s="113"/>
      <c r="AI199" s="113"/>
      <c r="AJ199" s="113"/>
      <c r="AK199" s="113"/>
      <c r="AL199" s="113"/>
      <c r="AM199" s="113"/>
      <c r="AN199" s="113"/>
      <c r="AO199" s="113"/>
      <c r="AP199" s="52">
        <f t="shared" si="3"/>
        <v>0</v>
      </c>
      <c r="AR199" s="45">
        <f t="shared" si="4"/>
        <v>0</v>
      </c>
      <c r="AS199" s="45">
        <f t="shared" si="5"/>
        <v>0</v>
      </c>
      <c r="AT199" s="45" t="str">
        <f t="shared" si="6"/>
        <v>#DIV/0!</v>
      </c>
      <c r="AV199" s="45">
        <f t="shared" si="7"/>
        <v>0</v>
      </c>
      <c r="AW199" s="45">
        <f t="shared" si="8"/>
        <v>0</v>
      </c>
      <c r="AX199" s="45" t="str">
        <f t="shared" si="9"/>
        <v>#DIV/0!</v>
      </c>
      <c r="AZ199" s="45">
        <f t="shared" si="10"/>
        <v>0</v>
      </c>
      <c r="BA199" s="45">
        <f t="shared" si="11"/>
        <v>0</v>
      </c>
      <c r="BB199" s="45" t="str">
        <f t="shared" si="12"/>
        <v>#DIV/0!</v>
      </c>
      <c r="BD199" s="45">
        <f t="shared" si="13"/>
        <v>0</v>
      </c>
      <c r="BE199" s="45">
        <f t="shared" si="14"/>
        <v>0</v>
      </c>
      <c r="BF199" s="45" t="str">
        <f t="shared" si="15"/>
        <v>#DIV/0!</v>
      </c>
      <c r="BH199" s="45">
        <f t="shared" si="16"/>
        <v>0</v>
      </c>
      <c r="BI199" s="45">
        <f t="shared" si="17"/>
        <v>0</v>
      </c>
      <c r="BJ199" s="45" t="str">
        <f t="shared" si="18"/>
        <v>#DIV/0!</v>
      </c>
    </row>
    <row r="200" ht="15.75" customHeight="1">
      <c r="A200" s="52">
        <v>189.0</v>
      </c>
      <c r="B200" s="110"/>
      <c r="C200" s="110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52">
        <f t="shared" si="1"/>
        <v>0</v>
      </c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52">
        <f t="shared" si="2"/>
        <v>0</v>
      </c>
      <c r="AD200" s="113"/>
      <c r="AE200" s="113"/>
      <c r="AF200" s="113"/>
      <c r="AG200" s="113"/>
      <c r="AH200" s="113"/>
      <c r="AI200" s="113"/>
      <c r="AJ200" s="113"/>
      <c r="AK200" s="113"/>
      <c r="AL200" s="113"/>
      <c r="AM200" s="113"/>
      <c r="AN200" s="113"/>
      <c r="AO200" s="113"/>
      <c r="AP200" s="52">
        <f t="shared" si="3"/>
        <v>0</v>
      </c>
      <c r="AR200" s="45">
        <f t="shared" si="4"/>
        <v>0</v>
      </c>
      <c r="AS200" s="45">
        <f t="shared" si="5"/>
        <v>0</v>
      </c>
      <c r="AT200" s="45" t="str">
        <f t="shared" si="6"/>
        <v>#DIV/0!</v>
      </c>
      <c r="AV200" s="45">
        <f t="shared" si="7"/>
        <v>0</v>
      </c>
      <c r="AW200" s="45">
        <f t="shared" si="8"/>
        <v>0</v>
      </c>
      <c r="AX200" s="45" t="str">
        <f t="shared" si="9"/>
        <v>#DIV/0!</v>
      </c>
      <c r="AZ200" s="45">
        <f t="shared" si="10"/>
        <v>0</v>
      </c>
      <c r="BA200" s="45">
        <f t="shared" si="11"/>
        <v>0</v>
      </c>
      <c r="BB200" s="45" t="str">
        <f t="shared" si="12"/>
        <v>#DIV/0!</v>
      </c>
      <c r="BD200" s="45">
        <f t="shared" si="13"/>
        <v>0</v>
      </c>
      <c r="BE200" s="45">
        <f t="shared" si="14"/>
        <v>0</v>
      </c>
      <c r="BF200" s="45" t="str">
        <f t="shared" si="15"/>
        <v>#DIV/0!</v>
      </c>
      <c r="BH200" s="45">
        <f t="shared" si="16"/>
        <v>0</v>
      </c>
      <c r="BI200" s="45">
        <f t="shared" si="17"/>
        <v>0</v>
      </c>
      <c r="BJ200" s="45" t="str">
        <f t="shared" si="18"/>
        <v>#DIV/0!</v>
      </c>
    </row>
    <row r="201" ht="15.75" customHeight="1">
      <c r="A201" s="52">
        <v>190.0</v>
      </c>
      <c r="B201" s="110"/>
      <c r="C201" s="110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52">
        <f t="shared" si="1"/>
        <v>0</v>
      </c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52">
        <f t="shared" si="2"/>
        <v>0</v>
      </c>
      <c r="AD201" s="113"/>
      <c r="AE201" s="113"/>
      <c r="AF201" s="113"/>
      <c r="AG201" s="113"/>
      <c r="AH201" s="113"/>
      <c r="AI201" s="113"/>
      <c r="AJ201" s="113"/>
      <c r="AK201" s="113"/>
      <c r="AL201" s="113"/>
      <c r="AM201" s="113"/>
      <c r="AN201" s="113"/>
      <c r="AO201" s="113"/>
      <c r="AP201" s="52">
        <f t="shared" si="3"/>
        <v>0</v>
      </c>
      <c r="AR201" s="45">
        <f t="shared" si="4"/>
        <v>0</v>
      </c>
      <c r="AS201" s="45">
        <f t="shared" si="5"/>
        <v>0</v>
      </c>
      <c r="AT201" s="45" t="str">
        <f t="shared" si="6"/>
        <v>#DIV/0!</v>
      </c>
      <c r="AV201" s="45">
        <f t="shared" si="7"/>
        <v>0</v>
      </c>
      <c r="AW201" s="45">
        <f t="shared" si="8"/>
        <v>0</v>
      </c>
      <c r="AX201" s="45" t="str">
        <f t="shared" si="9"/>
        <v>#DIV/0!</v>
      </c>
      <c r="AZ201" s="45">
        <f t="shared" si="10"/>
        <v>0</v>
      </c>
      <c r="BA201" s="45">
        <f t="shared" si="11"/>
        <v>0</v>
      </c>
      <c r="BB201" s="45" t="str">
        <f t="shared" si="12"/>
        <v>#DIV/0!</v>
      </c>
      <c r="BD201" s="45">
        <f t="shared" si="13"/>
        <v>0</v>
      </c>
      <c r="BE201" s="45">
        <f t="shared" si="14"/>
        <v>0</v>
      </c>
      <c r="BF201" s="45" t="str">
        <f t="shared" si="15"/>
        <v>#DIV/0!</v>
      </c>
      <c r="BH201" s="45">
        <f t="shared" si="16"/>
        <v>0</v>
      </c>
      <c r="BI201" s="45">
        <f t="shared" si="17"/>
        <v>0</v>
      </c>
      <c r="BJ201" s="45" t="str">
        <f t="shared" si="18"/>
        <v>#DIV/0!</v>
      </c>
    </row>
    <row r="202" ht="15.75" customHeight="1">
      <c r="A202" s="52">
        <v>191.0</v>
      </c>
      <c r="B202" s="110"/>
      <c r="C202" s="110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52">
        <f t="shared" si="1"/>
        <v>0</v>
      </c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52">
        <f t="shared" si="2"/>
        <v>0</v>
      </c>
      <c r="AD202" s="113"/>
      <c r="AE202" s="113"/>
      <c r="AF202" s="113"/>
      <c r="AG202" s="113"/>
      <c r="AH202" s="113"/>
      <c r="AI202" s="113"/>
      <c r="AJ202" s="113"/>
      <c r="AK202" s="113"/>
      <c r="AL202" s="113"/>
      <c r="AM202" s="113"/>
      <c r="AN202" s="113"/>
      <c r="AO202" s="113"/>
      <c r="AP202" s="52">
        <f t="shared" si="3"/>
        <v>0</v>
      </c>
      <c r="AR202" s="45">
        <f t="shared" si="4"/>
        <v>0</v>
      </c>
      <c r="AS202" s="45">
        <f t="shared" si="5"/>
        <v>0</v>
      </c>
      <c r="AT202" s="45" t="str">
        <f t="shared" si="6"/>
        <v>#DIV/0!</v>
      </c>
      <c r="AV202" s="45">
        <f t="shared" si="7"/>
        <v>0</v>
      </c>
      <c r="AW202" s="45">
        <f t="shared" si="8"/>
        <v>0</v>
      </c>
      <c r="AX202" s="45" t="str">
        <f t="shared" si="9"/>
        <v>#DIV/0!</v>
      </c>
      <c r="AZ202" s="45">
        <f t="shared" si="10"/>
        <v>0</v>
      </c>
      <c r="BA202" s="45">
        <f t="shared" si="11"/>
        <v>0</v>
      </c>
      <c r="BB202" s="45" t="str">
        <f t="shared" si="12"/>
        <v>#DIV/0!</v>
      </c>
      <c r="BD202" s="45">
        <f t="shared" si="13"/>
        <v>0</v>
      </c>
      <c r="BE202" s="45">
        <f t="shared" si="14"/>
        <v>0</v>
      </c>
      <c r="BF202" s="45" t="str">
        <f t="shared" si="15"/>
        <v>#DIV/0!</v>
      </c>
      <c r="BH202" s="45">
        <f t="shared" si="16"/>
        <v>0</v>
      </c>
      <c r="BI202" s="45">
        <f t="shared" si="17"/>
        <v>0</v>
      </c>
      <c r="BJ202" s="45" t="str">
        <f t="shared" si="18"/>
        <v>#DIV/0!</v>
      </c>
    </row>
    <row r="203" ht="15.75" customHeight="1">
      <c r="A203" s="52">
        <v>192.0</v>
      </c>
      <c r="B203" s="110"/>
      <c r="C203" s="110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52">
        <f t="shared" si="1"/>
        <v>0</v>
      </c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52">
        <f t="shared" si="2"/>
        <v>0</v>
      </c>
      <c r="AD203" s="113"/>
      <c r="AE203" s="113"/>
      <c r="AF203" s="113"/>
      <c r="AG203" s="113"/>
      <c r="AH203" s="113"/>
      <c r="AI203" s="113"/>
      <c r="AJ203" s="113"/>
      <c r="AK203" s="113"/>
      <c r="AL203" s="113"/>
      <c r="AM203" s="113"/>
      <c r="AN203" s="113"/>
      <c r="AO203" s="113"/>
      <c r="AP203" s="52">
        <f t="shared" si="3"/>
        <v>0</v>
      </c>
      <c r="AR203" s="45">
        <f t="shared" si="4"/>
        <v>0</v>
      </c>
      <c r="AS203" s="45">
        <f t="shared" si="5"/>
        <v>0</v>
      </c>
      <c r="AT203" s="45" t="str">
        <f t="shared" si="6"/>
        <v>#DIV/0!</v>
      </c>
      <c r="AV203" s="45">
        <f t="shared" si="7"/>
        <v>0</v>
      </c>
      <c r="AW203" s="45">
        <f t="shared" si="8"/>
        <v>0</v>
      </c>
      <c r="AX203" s="45" t="str">
        <f t="shared" si="9"/>
        <v>#DIV/0!</v>
      </c>
      <c r="AZ203" s="45">
        <f t="shared" si="10"/>
        <v>0</v>
      </c>
      <c r="BA203" s="45">
        <f t="shared" si="11"/>
        <v>0</v>
      </c>
      <c r="BB203" s="45" t="str">
        <f t="shared" si="12"/>
        <v>#DIV/0!</v>
      </c>
      <c r="BD203" s="45">
        <f t="shared" si="13"/>
        <v>0</v>
      </c>
      <c r="BE203" s="45">
        <f t="shared" si="14"/>
        <v>0</v>
      </c>
      <c r="BF203" s="45" t="str">
        <f t="shared" si="15"/>
        <v>#DIV/0!</v>
      </c>
      <c r="BH203" s="45">
        <f t="shared" si="16"/>
        <v>0</v>
      </c>
      <c r="BI203" s="45">
        <f t="shared" si="17"/>
        <v>0</v>
      </c>
      <c r="BJ203" s="45" t="str">
        <f t="shared" si="18"/>
        <v>#DIV/0!</v>
      </c>
    </row>
    <row r="204" ht="15.75" customHeight="1">
      <c r="A204" s="52">
        <v>193.0</v>
      </c>
      <c r="B204" s="110"/>
      <c r="C204" s="110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52">
        <f t="shared" si="1"/>
        <v>0</v>
      </c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52">
        <f t="shared" si="2"/>
        <v>0</v>
      </c>
      <c r="AD204" s="113"/>
      <c r="AE204" s="113"/>
      <c r="AF204" s="113"/>
      <c r="AG204" s="113"/>
      <c r="AH204" s="113"/>
      <c r="AI204" s="113"/>
      <c r="AJ204" s="113"/>
      <c r="AK204" s="113"/>
      <c r="AL204" s="113"/>
      <c r="AM204" s="113"/>
      <c r="AN204" s="113"/>
      <c r="AO204" s="113"/>
      <c r="AP204" s="52">
        <f t="shared" si="3"/>
        <v>0</v>
      </c>
      <c r="AR204" s="45">
        <f t="shared" si="4"/>
        <v>0</v>
      </c>
      <c r="AS204" s="45">
        <f t="shared" si="5"/>
        <v>0</v>
      </c>
      <c r="AT204" s="45" t="str">
        <f t="shared" si="6"/>
        <v>#DIV/0!</v>
      </c>
      <c r="AV204" s="45">
        <f t="shared" si="7"/>
        <v>0</v>
      </c>
      <c r="AW204" s="45">
        <f t="shared" si="8"/>
        <v>0</v>
      </c>
      <c r="AX204" s="45" t="str">
        <f t="shared" si="9"/>
        <v>#DIV/0!</v>
      </c>
      <c r="AZ204" s="45">
        <f t="shared" si="10"/>
        <v>0</v>
      </c>
      <c r="BA204" s="45">
        <f t="shared" si="11"/>
        <v>0</v>
      </c>
      <c r="BB204" s="45" t="str">
        <f t="shared" si="12"/>
        <v>#DIV/0!</v>
      </c>
      <c r="BD204" s="45">
        <f t="shared" si="13"/>
        <v>0</v>
      </c>
      <c r="BE204" s="45">
        <f t="shared" si="14"/>
        <v>0</v>
      </c>
      <c r="BF204" s="45" t="str">
        <f t="shared" si="15"/>
        <v>#DIV/0!</v>
      </c>
      <c r="BH204" s="45">
        <f t="shared" si="16"/>
        <v>0</v>
      </c>
      <c r="BI204" s="45">
        <f t="shared" si="17"/>
        <v>0</v>
      </c>
      <c r="BJ204" s="45" t="str">
        <f t="shared" si="18"/>
        <v>#DIV/0!</v>
      </c>
    </row>
    <row r="205" ht="15.75" customHeight="1">
      <c r="A205" s="52">
        <v>194.0</v>
      </c>
      <c r="B205" s="110"/>
      <c r="C205" s="110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52">
        <f t="shared" si="1"/>
        <v>0</v>
      </c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52">
        <f t="shared" si="2"/>
        <v>0</v>
      </c>
      <c r="AD205" s="113"/>
      <c r="AE205" s="113"/>
      <c r="AF205" s="113"/>
      <c r="AG205" s="113"/>
      <c r="AH205" s="113"/>
      <c r="AI205" s="113"/>
      <c r="AJ205" s="113"/>
      <c r="AK205" s="113"/>
      <c r="AL205" s="113"/>
      <c r="AM205" s="113"/>
      <c r="AN205" s="113"/>
      <c r="AO205" s="113"/>
      <c r="AP205" s="52">
        <f t="shared" si="3"/>
        <v>0</v>
      </c>
      <c r="AR205" s="45">
        <f t="shared" si="4"/>
        <v>0</v>
      </c>
      <c r="AS205" s="45">
        <f t="shared" si="5"/>
        <v>0</v>
      </c>
      <c r="AT205" s="45" t="str">
        <f t="shared" si="6"/>
        <v>#DIV/0!</v>
      </c>
      <c r="AV205" s="45">
        <f t="shared" si="7"/>
        <v>0</v>
      </c>
      <c r="AW205" s="45">
        <f t="shared" si="8"/>
        <v>0</v>
      </c>
      <c r="AX205" s="45" t="str">
        <f t="shared" si="9"/>
        <v>#DIV/0!</v>
      </c>
      <c r="AZ205" s="45">
        <f t="shared" si="10"/>
        <v>0</v>
      </c>
      <c r="BA205" s="45">
        <f t="shared" si="11"/>
        <v>0</v>
      </c>
      <c r="BB205" s="45" t="str">
        <f t="shared" si="12"/>
        <v>#DIV/0!</v>
      </c>
      <c r="BD205" s="45">
        <f t="shared" si="13"/>
        <v>0</v>
      </c>
      <c r="BE205" s="45">
        <f t="shared" si="14"/>
        <v>0</v>
      </c>
      <c r="BF205" s="45" t="str">
        <f t="shared" si="15"/>
        <v>#DIV/0!</v>
      </c>
      <c r="BH205" s="45">
        <f t="shared" si="16"/>
        <v>0</v>
      </c>
      <c r="BI205" s="45">
        <f t="shared" si="17"/>
        <v>0</v>
      </c>
      <c r="BJ205" s="45" t="str">
        <f t="shared" si="18"/>
        <v>#DIV/0!</v>
      </c>
    </row>
    <row r="206" ht="15.75" customHeight="1">
      <c r="A206" s="52">
        <v>195.0</v>
      </c>
      <c r="B206" s="110"/>
      <c r="C206" s="110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52">
        <f t="shared" si="1"/>
        <v>0</v>
      </c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52">
        <f t="shared" si="2"/>
        <v>0</v>
      </c>
      <c r="AD206" s="113"/>
      <c r="AE206" s="113"/>
      <c r="AF206" s="113"/>
      <c r="AG206" s="113"/>
      <c r="AH206" s="113"/>
      <c r="AI206" s="113"/>
      <c r="AJ206" s="113"/>
      <c r="AK206" s="113"/>
      <c r="AL206" s="113"/>
      <c r="AM206" s="113"/>
      <c r="AN206" s="113"/>
      <c r="AO206" s="113"/>
      <c r="AP206" s="52">
        <f t="shared" si="3"/>
        <v>0</v>
      </c>
      <c r="AR206" s="45">
        <f t="shared" si="4"/>
        <v>0</v>
      </c>
      <c r="AS206" s="45">
        <f t="shared" si="5"/>
        <v>0</v>
      </c>
      <c r="AT206" s="45" t="str">
        <f t="shared" si="6"/>
        <v>#DIV/0!</v>
      </c>
      <c r="AV206" s="45">
        <f t="shared" si="7"/>
        <v>0</v>
      </c>
      <c r="AW206" s="45">
        <f t="shared" si="8"/>
        <v>0</v>
      </c>
      <c r="AX206" s="45" t="str">
        <f t="shared" si="9"/>
        <v>#DIV/0!</v>
      </c>
      <c r="AZ206" s="45">
        <f t="shared" si="10"/>
        <v>0</v>
      </c>
      <c r="BA206" s="45">
        <f t="shared" si="11"/>
        <v>0</v>
      </c>
      <c r="BB206" s="45" t="str">
        <f t="shared" si="12"/>
        <v>#DIV/0!</v>
      </c>
      <c r="BD206" s="45">
        <f t="shared" si="13"/>
        <v>0</v>
      </c>
      <c r="BE206" s="45">
        <f t="shared" si="14"/>
        <v>0</v>
      </c>
      <c r="BF206" s="45" t="str">
        <f t="shared" si="15"/>
        <v>#DIV/0!</v>
      </c>
      <c r="BH206" s="45">
        <f t="shared" si="16"/>
        <v>0</v>
      </c>
      <c r="BI206" s="45">
        <f t="shared" si="17"/>
        <v>0</v>
      </c>
      <c r="BJ206" s="45" t="str">
        <f t="shared" si="18"/>
        <v>#DIV/0!</v>
      </c>
    </row>
    <row r="207" ht="15.75" customHeight="1">
      <c r="A207" s="52">
        <v>196.0</v>
      </c>
      <c r="B207" s="110"/>
      <c r="C207" s="110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52">
        <f t="shared" si="1"/>
        <v>0</v>
      </c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  <c r="AC207" s="52">
        <f t="shared" si="2"/>
        <v>0</v>
      </c>
      <c r="AD207" s="113"/>
      <c r="AE207" s="113"/>
      <c r="AF207" s="113"/>
      <c r="AG207" s="113"/>
      <c r="AH207" s="113"/>
      <c r="AI207" s="113"/>
      <c r="AJ207" s="113"/>
      <c r="AK207" s="113"/>
      <c r="AL207" s="113"/>
      <c r="AM207" s="113"/>
      <c r="AN207" s="113"/>
      <c r="AO207" s="113"/>
      <c r="AP207" s="52">
        <f t="shared" si="3"/>
        <v>0</v>
      </c>
      <c r="AR207" s="45">
        <f t="shared" si="4"/>
        <v>0</v>
      </c>
      <c r="AS207" s="45">
        <f t="shared" si="5"/>
        <v>0</v>
      </c>
      <c r="AT207" s="45" t="str">
        <f t="shared" si="6"/>
        <v>#DIV/0!</v>
      </c>
      <c r="AV207" s="45">
        <f t="shared" si="7"/>
        <v>0</v>
      </c>
      <c r="AW207" s="45">
        <f t="shared" si="8"/>
        <v>0</v>
      </c>
      <c r="AX207" s="45" t="str">
        <f t="shared" si="9"/>
        <v>#DIV/0!</v>
      </c>
      <c r="AZ207" s="45">
        <f t="shared" si="10"/>
        <v>0</v>
      </c>
      <c r="BA207" s="45">
        <f t="shared" si="11"/>
        <v>0</v>
      </c>
      <c r="BB207" s="45" t="str">
        <f t="shared" si="12"/>
        <v>#DIV/0!</v>
      </c>
      <c r="BD207" s="45">
        <f t="shared" si="13"/>
        <v>0</v>
      </c>
      <c r="BE207" s="45">
        <f t="shared" si="14"/>
        <v>0</v>
      </c>
      <c r="BF207" s="45" t="str">
        <f t="shared" si="15"/>
        <v>#DIV/0!</v>
      </c>
      <c r="BH207" s="45">
        <f t="shared" si="16"/>
        <v>0</v>
      </c>
      <c r="BI207" s="45">
        <f t="shared" si="17"/>
        <v>0</v>
      </c>
      <c r="BJ207" s="45" t="str">
        <f t="shared" si="18"/>
        <v>#DIV/0!</v>
      </c>
    </row>
    <row r="208" ht="15.75" customHeight="1">
      <c r="A208" s="52">
        <v>197.0</v>
      </c>
      <c r="B208" s="110"/>
      <c r="C208" s="110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52">
        <f t="shared" si="1"/>
        <v>0</v>
      </c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52">
        <f t="shared" si="2"/>
        <v>0</v>
      </c>
      <c r="AD208" s="113"/>
      <c r="AE208" s="113"/>
      <c r="AF208" s="113"/>
      <c r="AG208" s="113"/>
      <c r="AH208" s="113"/>
      <c r="AI208" s="113"/>
      <c r="AJ208" s="113"/>
      <c r="AK208" s="113"/>
      <c r="AL208" s="113"/>
      <c r="AM208" s="113"/>
      <c r="AN208" s="113"/>
      <c r="AO208" s="113"/>
      <c r="AP208" s="52">
        <f t="shared" si="3"/>
        <v>0</v>
      </c>
      <c r="AR208" s="45">
        <f t="shared" si="4"/>
        <v>0</v>
      </c>
      <c r="AS208" s="45">
        <f t="shared" si="5"/>
        <v>0</v>
      </c>
      <c r="AT208" s="45" t="str">
        <f t="shared" si="6"/>
        <v>#DIV/0!</v>
      </c>
      <c r="AV208" s="45">
        <f t="shared" si="7"/>
        <v>0</v>
      </c>
      <c r="AW208" s="45">
        <f t="shared" si="8"/>
        <v>0</v>
      </c>
      <c r="AX208" s="45" t="str">
        <f t="shared" si="9"/>
        <v>#DIV/0!</v>
      </c>
      <c r="AZ208" s="45">
        <f t="shared" si="10"/>
        <v>0</v>
      </c>
      <c r="BA208" s="45">
        <f t="shared" si="11"/>
        <v>0</v>
      </c>
      <c r="BB208" s="45" t="str">
        <f t="shared" si="12"/>
        <v>#DIV/0!</v>
      </c>
      <c r="BD208" s="45">
        <f t="shared" si="13"/>
        <v>0</v>
      </c>
      <c r="BE208" s="45">
        <f t="shared" si="14"/>
        <v>0</v>
      </c>
      <c r="BF208" s="45" t="str">
        <f t="shared" si="15"/>
        <v>#DIV/0!</v>
      </c>
      <c r="BH208" s="45">
        <f t="shared" si="16"/>
        <v>0</v>
      </c>
      <c r="BI208" s="45">
        <f t="shared" si="17"/>
        <v>0</v>
      </c>
      <c r="BJ208" s="45" t="str">
        <f t="shared" si="18"/>
        <v>#DIV/0!</v>
      </c>
    </row>
    <row r="209" ht="15.75" customHeight="1">
      <c r="A209" s="52">
        <v>198.0</v>
      </c>
      <c r="B209" s="110"/>
      <c r="C209" s="110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52">
        <f t="shared" si="1"/>
        <v>0</v>
      </c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52">
        <f t="shared" si="2"/>
        <v>0</v>
      </c>
      <c r="AD209" s="113"/>
      <c r="AE209" s="113"/>
      <c r="AF209" s="113"/>
      <c r="AG209" s="113"/>
      <c r="AH209" s="113"/>
      <c r="AI209" s="113"/>
      <c r="AJ209" s="113"/>
      <c r="AK209" s="113"/>
      <c r="AL209" s="113"/>
      <c r="AM209" s="113"/>
      <c r="AN209" s="113"/>
      <c r="AO209" s="113"/>
      <c r="AP209" s="52">
        <f t="shared" si="3"/>
        <v>0</v>
      </c>
      <c r="AR209" s="45">
        <f t="shared" si="4"/>
        <v>0</v>
      </c>
      <c r="AS209" s="45">
        <f t="shared" si="5"/>
        <v>0</v>
      </c>
      <c r="AT209" s="45" t="str">
        <f t="shared" si="6"/>
        <v>#DIV/0!</v>
      </c>
      <c r="AV209" s="45">
        <f t="shared" si="7"/>
        <v>0</v>
      </c>
      <c r="AW209" s="45">
        <f t="shared" si="8"/>
        <v>0</v>
      </c>
      <c r="AX209" s="45" t="str">
        <f t="shared" si="9"/>
        <v>#DIV/0!</v>
      </c>
      <c r="AZ209" s="45">
        <f t="shared" si="10"/>
        <v>0</v>
      </c>
      <c r="BA209" s="45">
        <f t="shared" si="11"/>
        <v>0</v>
      </c>
      <c r="BB209" s="45" t="str">
        <f t="shared" si="12"/>
        <v>#DIV/0!</v>
      </c>
      <c r="BD209" s="45">
        <f t="shared" si="13"/>
        <v>0</v>
      </c>
      <c r="BE209" s="45">
        <f t="shared" si="14"/>
        <v>0</v>
      </c>
      <c r="BF209" s="45" t="str">
        <f t="shared" si="15"/>
        <v>#DIV/0!</v>
      </c>
      <c r="BH209" s="45">
        <f t="shared" si="16"/>
        <v>0</v>
      </c>
      <c r="BI209" s="45">
        <f t="shared" si="17"/>
        <v>0</v>
      </c>
      <c r="BJ209" s="45" t="str">
        <f t="shared" si="18"/>
        <v>#DIV/0!</v>
      </c>
    </row>
    <row r="210" ht="15.75" customHeight="1">
      <c r="A210" s="52">
        <v>199.0</v>
      </c>
      <c r="B210" s="110"/>
      <c r="C210" s="110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52">
        <f t="shared" si="1"/>
        <v>0</v>
      </c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52">
        <f t="shared" si="2"/>
        <v>0</v>
      </c>
      <c r="AD210" s="113"/>
      <c r="AE210" s="113"/>
      <c r="AF210" s="113"/>
      <c r="AG210" s="113"/>
      <c r="AH210" s="113"/>
      <c r="AI210" s="113"/>
      <c r="AJ210" s="113"/>
      <c r="AK210" s="113"/>
      <c r="AL210" s="113"/>
      <c r="AM210" s="113"/>
      <c r="AN210" s="113"/>
      <c r="AO210" s="113"/>
      <c r="AP210" s="52">
        <f t="shared" si="3"/>
        <v>0</v>
      </c>
      <c r="AR210" s="45">
        <f t="shared" si="4"/>
        <v>0</v>
      </c>
      <c r="AS210" s="45">
        <f t="shared" si="5"/>
        <v>0</v>
      </c>
      <c r="AT210" s="45" t="str">
        <f t="shared" si="6"/>
        <v>#DIV/0!</v>
      </c>
      <c r="AV210" s="45">
        <f t="shared" si="7"/>
        <v>0</v>
      </c>
      <c r="AW210" s="45">
        <f t="shared" si="8"/>
        <v>0</v>
      </c>
      <c r="AX210" s="45" t="str">
        <f t="shared" si="9"/>
        <v>#DIV/0!</v>
      </c>
      <c r="AZ210" s="45">
        <f t="shared" si="10"/>
        <v>0</v>
      </c>
      <c r="BA210" s="45">
        <f t="shared" si="11"/>
        <v>0</v>
      </c>
      <c r="BB210" s="45" t="str">
        <f t="shared" si="12"/>
        <v>#DIV/0!</v>
      </c>
      <c r="BD210" s="45">
        <f t="shared" si="13"/>
        <v>0</v>
      </c>
      <c r="BE210" s="45">
        <f t="shared" si="14"/>
        <v>0</v>
      </c>
      <c r="BF210" s="45" t="str">
        <f t="shared" si="15"/>
        <v>#DIV/0!</v>
      </c>
      <c r="BH210" s="45">
        <f t="shared" si="16"/>
        <v>0</v>
      </c>
      <c r="BI210" s="45">
        <f t="shared" si="17"/>
        <v>0</v>
      </c>
      <c r="BJ210" s="45" t="str">
        <f t="shared" si="18"/>
        <v>#DIV/0!</v>
      </c>
    </row>
    <row r="211" ht="15.75" customHeight="1">
      <c r="A211" s="52">
        <v>200.0</v>
      </c>
      <c r="B211" s="110"/>
      <c r="C211" s="110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52">
        <f t="shared" si="1"/>
        <v>0</v>
      </c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52">
        <f t="shared" si="2"/>
        <v>0</v>
      </c>
      <c r="AD211" s="113"/>
      <c r="AE211" s="113"/>
      <c r="AF211" s="113"/>
      <c r="AG211" s="113"/>
      <c r="AH211" s="113"/>
      <c r="AI211" s="113"/>
      <c r="AJ211" s="113"/>
      <c r="AK211" s="113"/>
      <c r="AL211" s="113"/>
      <c r="AM211" s="113"/>
      <c r="AN211" s="113"/>
      <c r="AO211" s="113"/>
      <c r="AP211" s="52">
        <f t="shared" si="3"/>
        <v>0</v>
      </c>
      <c r="AR211" s="45">
        <f t="shared" si="4"/>
        <v>0</v>
      </c>
      <c r="AS211" s="45">
        <f t="shared" si="5"/>
        <v>0</v>
      </c>
      <c r="AT211" s="45" t="str">
        <f t="shared" si="6"/>
        <v>#DIV/0!</v>
      </c>
      <c r="AV211" s="45">
        <f t="shared" si="7"/>
        <v>0</v>
      </c>
      <c r="AW211" s="45">
        <f t="shared" si="8"/>
        <v>0</v>
      </c>
      <c r="AX211" s="45" t="str">
        <f t="shared" si="9"/>
        <v>#DIV/0!</v>
      </c>
      <c r="AZ211" s="45">
        <f t="shared" si="10"/>
        <v>0</v>
      </c>
      <c r="BA211" s="45">
        <f t="shared" si="11"/>
        <v>0</v>
      </c>
      <c r="BB211" s="45" t="str">
        <f t="shared" si="12"/>
        <v>#DIV/0!</v>
      </c>
      <c r="BD211" s="45">
        <f t="shared" si="13"/>
        <v>0</v>
      </c>
      <c r="BE211" s="45">
        <f t="shared" si="14"/>
        <v>0</v>
      </c>
      <c r="BF211" s="45" t="str">
        <f t="shared" si="15"/>
        <v>#DIV/0!</v>
      </c>
      <c r="BH211" s="45">
        <f t="shared" si="16"/>
        <v>0</v>
      </c>
      <c r="BI211" s="45">
        <f t="shared" si="17"/>
        <v>0</v>
      </c>
      <c r="BJ211" s="45" t="str">
        <f t="shared" si="18"/>
        <v>#DIV/0!</v>
      </c>
    </row>
    <row r="212" ht="15.75" customHeight="1">
      <c r="A212" s="52">
        <v>201.0</v>
      </c>
      <c r="B212" s="110"/>
      <c r="C212" s="110"/>
      <c r="D212" s="115"/>
      <c r="E212" s="115"/>
      <c r="F212" s="115"/>
      <c r="G212" s="45"/>
      <c r="H212" s="45"/>
      <c r="I212" s="45"/>
      <c r="J212" s="115"/>
      <c r="K212" s="115"/>
      <c r="L212" s="115"/>
      <c r="M212" s="45"/>
      <c r="N212" s="45"/>
      <c r="O212" s="45"/>
      <c r="P212" s="52">
        <f t="shared" si="1"/>
        <v>0</v>
      </c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52">
        <f t="shared" si="2"/>
        <v>0</v>
      </c>
      <c r="AD212" s="113"/>
      <c r="AE212" s="113"/>
      <c r="AF212" s="113"/>
      <c r="AG212" s="113"/>
      <c r="AH212" s="113"/>
      <c r="AI212" s="113"/>
      <c r="AJ212" s="113"/>
      <c r="AK212" s="113"/>
      <c r="AL212" s="113"/>
      <c r="AM212" s="113"/>
      <c r="AN212" s="113"/>
      <c r="AO212" s="113"/>
      <c r="AP212" s="52">
        <f t="shared" si="3"/>
        <v>0</v>
      </c>
      <c r="AR212" s="45">
        <f t="shared" si="4"/>
        <v>0</v>
      </c>
      <c r="AS212" s="45">
        <f t="shared" si="5"/>
        <v>0</v>
      </c>
      <c r="AT212" s="45" t="str">
        <f t="shared" si="6"/>
        <v>#DIV/0!</v>
      </c>
      <c r="AV212" s="45">
        <f t="shared" si="7"/>
        <v>0</v>
      </c>
      <c r="AW212" s="45">
        <f t="shared" si="8"/>
        <v>0</v>
      </c>
      <c r="AX212" s="45" t="str">
        <f t="shared" si="9"/>
        <v>#DIV/0!</v>
      </c>
      <c r="AZ212" s="45">
        <f t="shared" si="10"/>
        <v>0</v>
      </c>
      <c r="BA212" s="45">
        <f t="shared" si="11"/>
        <v>0</v>
      </c>
      <c r="BB212" s="45" t="str">
        <f t="shared" si="12"/>
        <v>#DIV/0!</v>
      </c>
      <c r="BD212" s="45">
        <f t="shared" si="13"/>
        <v>0</v>
      </c>
      <c r="BE212" s="45">
        <f t="shared" si="14"/>
        <v>0</v>
      </c>
      <c r="BF212" s="45" t="str">
        <f t="shared" si="15"/>
        <v>#DIV/0!</v>
      </c>
      <c r="BH212" s="45">
        <f t="shared" si="16"/>
        <v>0</v>
      </c>
      <c r="BI212" s="45">
        <f t="shared" si="17"/>
        <v>0</v>
      </c>
      <c r="BJ212" s="45" t="str">
        <f t="shared" si="18"/>
        <v>#DIV/0!</v>
      </c>
    </row>
    <row r="213" ht="15.75" customHeight="1">
      <c r="A213" s="52">
        <v>202.0</v>
      </c>
      <c r="B213" s="110"/>
      <c r="C213" s="110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52">
        <f t="shared" si="1"/>
        <v>0</v>
      </c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52">
        <f t="shared" si="2"/>
        <v>0</v>
      </c>
      <c r="AD213" s="113"/>
      <c r="AE213" s="113"/>
      <c r="AF213" s="113"/>
      <c r="AG213" s="113"/>
      <c r="AH213" s="113"/>
      <c r="AI213" s="113"/>
      <c r="AJ213" s="113"/>
      <c r="AK213" s="113"/>
      <c r="AL213" s="113"/>
      <c r="AM213" s="113"/>
      <c r="AN213" s="113"/>
      <c r="AO213" s="113"/>
      <c r="AP213" s="52">
        <f t="shared" si="3"/>
        <v>0</v>
      </c>
      <c r="AR213" s="45">
        <f t="shared" si="4"/>
        <v>0</v>
      </c>
      <c r="AS213" s="45">
        <f t="shared" si="5"/>
        <v>0</v>
      </c>
      <c r="AT213" s="45" t="str">
        <f t="shared" si="6"/>
        <v>#DIV/0!</v>
      </c>
      <c r="AV213" s="45">
        <f t="shared" si="7"/>
        <v>0</v>
      </c>
      <c r="AW213" s="45">
        <f t="shared" si="8"/>
        <v>0</v>
      </c>
      <c r="AX213" s="45" t="str">
        <f t="shared" si="9"/>
        <v>#DIV/0!</v>
      </c>
      <c r="AZ213" s="45">
        <f t="shared" si="10"/>
        <v>0</v>
      </c>
      <c r="BA213" s="45">
        <f t="shared" si="11"/>
        <v>0</v>
      </c>
      <c r="BB213" s="45" t="str">
        <f t="shared" si="12"/>
        <v>#DIV/0!</v>
      </c>
      <c r="BD213" s="45">
        <f t="shared" si="13"/>
        <v>0</v>
      </c>
      <c r="BE213" s="45">
        <f t="shared" si="14"/>
        <v>0</v>
      </c>
      <c r="BF213" s="45" t="str">
        <f t="shared" si="15"/>
        <v>#DIV/0!</v>
      </c>
      <c r="BH213" s="45">
        <f t="shared" si="16"/>
        <v>0</v>
      </c>
      <c r="BI213" s="45">
        <f t="shared" si="17"/>
        <v>0</v>
      </c>
      <c r="BJ213" s="45" t="str">
        <f t="shared" si="18"/>
        <v>#DIV/0!</v>
      </c>
    </row>
    <row r="214" ht="15.75" customHeight="1">
      <c r="A214" s="52">
        <v>203.0</v>
      </c>
      <c r="B214" s="110"/>
      <c r="C214" s="110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52">
        <f t="shared" si="1"/>
        <v>0</v>
      </c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52">
        <f t="shared" si="2"/>
        <v>0</v>
      </c>
      <c r="AD214" s="113"/>
      <c r="AE214" s="113"/>
      <c r="AF214" s="113"/>
      <c r="AG214" s="113"/>
      <c r="AH214" s="113"/>
      <c r="AI214" s="113"/>
      <c r="AJ214" s="113"/>
      <c r="AK214" s="113"/>
      <c r="AL214" s="113"/>
      <c r="AM214" s="113"/>
      <c r="AN214" s="113"/>
      <c r="AO214" s="113"/>
      <c r="AP214" s="52">
        <f t="shared" si="3"/>
        <v>0</v>
      </c>
      <c r="AR214" s="45">
        <f t="shared" si="4"/>
        <v>0</v>
      </c>
      <c r="AS214" s="45">
        <f t="shared" si="5"/>
        <v>0</v>
      </c>
      <c r="AT214" s="45" t="str">
        <f t="shared" si="6"/>
        <v>#DIV/0!</v>
      </c>
      <c r="AV214" s="45">
        <f t="shared" si="7"/>
        <v>0</v>
      </c>
      <c r="AW214" s="45">
        <f t="shared" si="8"/>
        <v>0</v>
      </c>
      <c r="AX214" s="45" t="str">
        <f t="shared" si="9"/>
        <v>#DIV/0!</v>
      </c>
      <c r="AZ214" s="45">
        <f t="shared" si="10"/>
        <v>0</v>
      </c>
      <c r="BA214" s="45">
        <f t="shared" si="11"/>
        <v>0</v>
      </c>
      <c r="BB214" s="45" t="str">
        <f t="shared" si="12"/>
        <v>#DIV/0!</v>
      </c>
      <c r="BD214" s="45">
        <f t="shared" si="13"/>
        <v>0</v>
      </c>
      <c r="BE214" s="45">
        <f t="shared" si="14"/>
        <v>0</v>
      </c>
      <c r="BF214" s="45" t="str">
        <f t="shared" si="15"/>
        <v>#DIV/0!</v>
      </c>
      <c r="BH214" s="45">
        <f t="shared" si="16"/>
        <v>0</v>
      </c>
      <c r="BI214" s="45">
        <f t="shared" si="17"/>
        <v>0</v>
      </c>
      <c r="BJ214" s="45" t="str">
        <f t="shared" si="18"/>
        <v>#DIV/0!</v>
      </c>
    </row>
    <row r="215" ht="15.75" customHeight="1">
      <c r="A215" s="52">
        <v>204.0</v>
      </c>
      <c r="B215" s="110"/>
      <c r="C215" s="110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52">
        <f t="shared" si="1"/>
        <v>0</v>
      </c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52">
        <f t="shared" si="2"/>
        <v>0</v>
      </c>
      <c r="AD215" s="113"/>
      <c r="AE215" s="113"/>
      <c r="AF215" s="113"/>
      <c r="AG215" s="113"/>
      <c r="AH215" s="113"/>
      <c r="AI215" s="113"/>
      <c r="AJ215" s="113"/>
      <c r="AK215" s="113"/>
      <c r="AL215" s="113"/>
      <c r="AM215" s="113"/>
      <c r="AN215" s="113"/>
      <c r="AO215" s="113"/>
      <c r="AP215" s="52">
        <f t="shared" si="3"/>
        <v>0</v>
      </c>
      <c r="AR215" s="45">
        <f t="shared" si="4"/>
        <v>0</v>
      </c>
      <c r="AS215" s="45">
        <f t="shared" si="5"/>
        <v>0</v>
      </c>
      <c r="AT215" s="45" t="str">
        <f t="shared" si="6"/>
        <v>#DIV/0!</v>
      </c>
      <c r="AV215" s="45">
        <f t="shared" si="7"/>
        <v>0</v>
      </c>
      <c r="AW215" s="45">
        <f t="shared" si="8"/>
        <v>0</v>
      </c>
      <c r="AX215" s="45" t="str">
        <f t="shared" si="9"/>
        <v>#DIV/0!</v>
      </c>
      <c r="AZ215" s="45">
        <f t="shared" si="10"/>
        <v>0</v>
      </c>
      <c r="BA215" s="45">
        <f t="shared" si="11"/>
        <v>0</v>
      </c>
      <c r="BB215" s="45" t="str">
        <f t="shared" si="12"/>
        <v>#DIV/0!</v>
      </c>
      <c r="BD215" s="45">
        <f t="shared" si="13"/>
        <v>0</v>
      </c>
      <c r="BE215" s="45">
        <f t="shared" si="14"/>
        <v>0</v>
      </c>
      <c r="BF215" s="45" t="str">
        <f t="shared" si="15"/>
        <v>#DIV/0!</v>
      </c>
      <c r="BH215" s="45">
        <f t="shared" si="16"/>
        <v>0</v>
      </c>
      <c r="BI215" s="45">
        <f t="shared" si="17"/>
        <v>0</v>
      </c>
      <c r="BJ215" s="45" t="str">
        <f t="shared" si="18"/>
        <v>#DIV/0!</v>
      </c>
    </row>
    <row r="216" ht="15.75" customHeight="1">
      <c r="A216" s="52">
        <v>205.0</v>
      </c>
      <c r="B216" s="110"/>
      <c r="C216" s="110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52">
        <f t="shared" si="1"/>
        <v>0</v>
      </c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52">
        <f t="shared" si="2"/>
        <v>0</v>
      </c>
      <c r="AD216" s="113"/>
      <c r="AE216" s="113"/>
      <c r="AF216" s="113"/>
      <c r="AG216" s="113"/>
      <c r="AH216" s="113"/>
      <c r="AI216" s="113"/>
      <c r="AJ216" s="113"/>
      <c r="AK216" s="113"/>
      <c r="AL216" s="113"/>
      <c r="AM216" s="113"/>
      <c r="AN216" s="113"/>
      <c r="AO216" s="113"/>
      <c r="AP216" s="52">
        <f t="shared" si="3"/>
        <v>0</v>
      </c>
      <c r="AR216" s="45">
        <f t="shared" si="4"/>
        <v>0</v>
      </c>
      <c r="AS216" s="45">
        <f t="shared" si="5"/>
        <v>0</v>
      </c>
      <c r="AT216" s="45" t="str">
        <f t="shared" si="6"/>
        <v>#DIV/0!</v>
      </c>
      <c r="AV216" s="45">
        <f t="shared" si="7"/>
        <v>0</v>
      </c>
      <c r="AW216" s="45">
        <f t="shared" si="8"/>
        <v>0</v>
      </c>
      <c r="AX216" s="45" t="str">
        <f t="shared" si="9"/>
        <v>#DIV/0!</v>
      </c>
      <c r="AZ216" s="45">
        <f t="shared" si="10"/>
        <v>0</v>
      </c>
      <c r="BA216" s="45">
        <f t="shared" si="11"/>
        <v>0</v>
      </c>
      <c r="BB216" s="45" t="str">
        <f t="shared" si="12"/>
        <v>#DIV/0!</v>
      </c>
      <c r="BD216" s="45">
        <f t="shared" si="13"/>
        <v>0</v>
      </c>
      <c r="BE216" s="45">
        <f t="shared" si="14"/>
        <v>0</v>
      </c>
      <c r="BF216" s="45" t="str">
        <f t="shared" si="15"/>
        <v>#DIV/0!</v>
      </c>
      <c r="BH216" s="45">
        <f t="shared" si="16"/>
        <v>0</v>
      </c>
      <c r="BI216" s="45">
        <f t="shared" si="17"/>
        <v>0</v>
      </c>
      <c r="BJ216" s="45" t="str">
        <f t="shared" si="18"/>
        <v>#DIV/0!</v>
      </c>
    </row>
    <row r="217" ht="15.75" customHeight="1">
      <c r="A217" s="52">
        <v>206.0</v>
      </c>
      <c r="B217" s="110"/>
      <c r="C217" s="110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52">
        <f t="shared" si="1"/>
        <v>0</v>
      </c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52">
        <f t="shared" si="2"/>
        <v>0</v>
      </c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52">
        <f t="shared" si="3"/>
        <v>0</v>
      </c>
      <c r="AR217" s="45">
        <f t="shared" si="4"/>
        <v>0</v>
      </c>
      <c r="AS217" s="45">
        <f t="shared" si="5"/>
        <v>0</v>
      </c>
      <c r="AT217" s="45" t="str">
        <f t="shared" si="6"/>
        <v>#DIV/0!</v>
      </c>
      <c r="AV217" s="45">
        <f t="shared" si="7"/>
        <v>0</v>
      </c>
      <c r="AW217" s="45">
        <f t="shared" si="8"/>
        <v>0</v>
      </c>
      <c r="AX217" s="45" t="str">
        <f t="shared" si="9"/>
        <v>#DIV/0!</v>
      </c>
      <c r="AZ217" s="45">
        <f t="shared" si="10"/>
        <v>0</v>
      </c>
      <c r="BA217" s="45">
        <f t="shared" si="11"/>
        <v>0</v>
      </c>
      <c r="BB217" s="45" t="str">
        <f t="shared" si="12"/>
        <v>#DIV/0!</v>
      </c>
      <c r="BD217" s="45">
        <f t="shared" si="13"/>
        <v>0</v>
      </c>
      <c r="BE217" s="45">
        <f t="shared" si="14"/>
        <v>0</v>
      </c>
      <c r="BF217" s="45" t="str">
        <f t="shared" si="15"/>
        <v>#DIV/0!</v>
      </c>
      <c r="BH217" s="45">
        <f t="shared" si="16"/>
        <v>0</v>
      </c>
      <c r="BI217" s="45">
        <f t="shared" si="17"/>
        <v>0</v>
      </c>
      <c r="BJ217" s="45" t="str">
        <f t="shared" si="18"/>
        <v>#DIV/0!</v>
      </c>
    </row>
    <row r="218" ht="15.75" customHeight="1">
      <c r="A218" s="52">
        <v>207.0</v>
      </c>
      <c r="B218" s="110"/>
      <c r="C218" s="110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52">
        <f t="shared" si="1"/>
        <v>0</v>
      </c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52">
        <f t="shared" si="2"/>
        <v>0</v>
      </c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/>
      <c r="AN218" s="113"/>
      <c r="AO218" s="113"/>
      <c r="AP218" s="52">
        <f t="shared" si="3"/>
        <v>0</v>
      </c>
      <c r="AR218" s="45">
        <f t="shared" si="4"/>
        <v>0</v>
      </c>
      <c r="AS218" s="45">
        <f t="shared" si="5"/>
        <v>0</v>
      </c>
      <c r="AT218" s="45" t="str">
        <f t="shared" si="6"/>
        <v>#DIV/0!</v>
      </c>
      <c r="AV218" s="45">
        <f t="shared" si="7"/>
        <v>0</v>
      </c>
      <c r="AW218" s="45">
        <f t="shared" si="8"/>
        <v>0</v>
      </c>
      <c r="AX218" s="45" t="str">
        <f t="shared" si="9"/>
        <v>#DIV/0!</v>
      </c>
      <c r="AZ218" s="45">
        <f t="shared" si="10"/>
        <v>0</v>
      </c>
      <c r="BA218" s="45">
        <f t="shared" si="11"/>
        <v>0</v>
      </c>
      <c r="BB218" s="45" t="str">
        <f t="shared" si="12"/>
        <v>#DIV/0!</v>
      </c>
      <c r="BD218" s="45">
        <f t="shared" si="13"/>
        <v>0</v>
      </c>
      <c r="BE218" s="45">
        <f t="shared" si="14"/>
        <v>0</v>
      </c>
      <c r="BF218" s="45" t="str">
        <f t="shared" si="15"/>
        <v>#DIV/0!</v>
      </c>
      <c r="BH218" s="45">
        <f t="shared" si="16"/>
        <v>0</v>
      </c>
      <c r="BI218" s="45">
        <f t="shared" si="17"/>
        <v>0</v>
      </c>
      <c r="BJ218" s="45" t="str">
        <f t="shared" si="18"/>
        <v>#DIV/0!</v>
      </c>
    </row>
    <row r="219" ht="15.75" customHeight="1">
      <c r="A219" s="52">
        <v>208.0</v>
      </c>
      <c r="B219" s="110"/>
      <c r="C219" s="110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52">
        <f t="shared" si="1"/>
        <v>0</v>
      </c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52">
        <f t="shared" si="2"/>
        <v>0</v>
      </c>
      <c r="AD219" s="113"/>
      <c r="AE219" s="113"/>
      <c r="AF219" s="113"/>
      <c r="AG219" s="113"/>
      <c r="AH219" s="113"/>
      <c r="AI219" s="113"/>
      <c r="AJ219" s="113"/>
      <c r="AK219" s="113"/>
      <c r="AL219" s="113"/>
      <c r="AM219" s="113"/>
      <c r="AN219" s="113"/>
      <c r="AO219" s="113"/>
      <c r="AP219" s="52">
        <f t="shared" si="3"/>
        <v>0</v>
      </c>
      <c r="AR219" s="45">
        <f t="shared" si="4"/>
        <v>0</v>
      </c>
      <c r="AS219" s="45">
        <f t="shared" si="5"/>
        <v>0</v>
      </c>
      <c r="AT219" s="45" t="str">
        <f t="shared" si="6"/>
        <v>#DIV/0!</v>
      </c>
      <c r="AV219" s="45">
        <f t="shared" si="7"/>
        <v>0</v>
      </c>
      <c r="AW219" s="45">
        <f t="shared" si="8"/>
        <v>0</v>
      </c>
      <c r="AX219" s="45" t="str">
        <f t="shared" si="9"/>
        <v>#DIV/0!</v>
      </c>
      <c r="AZ219" s="45">
        <f t="shared" si="10"/>
        <v>0</v>
      </c>
      <c r="BA219" s="45">
        <f t="shared" si="11"/>
        <v>0</v>
      </c>
      <c r="BB219" s="45" t="str">
        <f t="shared" si="12"/>
        <v>#DIV/0!</v>
      </c>
      <c r="BD219" s="45">
        <f t="shared" si="13"/>
        <v>0</v>
      </c>
      <c r="BE219" s="45">
        <f t="shared" si="14"/>
        <v>0</v>
      </c>
      <c r="BF219" s="45" t="str">
        <f t="shared" si="15"/>
        <v>#DIV/0!</v>
      </c>
      <c r="BH219" s="45">
        <f t="shared" si="16"/>
        <v>0</v>
      </c>
      <c r="BI219" s="45">
        <f t="shared" si="17"/>
        <v>0</v>
      </c>
      <c r="BJ219" s="45" t="str">
        <f t="shared" si="18"/>
        <v>#DIV/0!</v>
      </c>
    </row>
    <row r="220" ht="15.75" customHeight="1">
      <c r="A220" s="52">
        <v>209.0</v>
      </c>
      <c r="B220" s="110"/>
      <c r="C220" s="110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52">
        <f t="shared" si="1"/>
        <v>0</v>
      </c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52">
        <f t="shared" si="2"/>
        <v>0</v>
      </c>
      <c r="AD220" s="113"/>
      <c r="AE220" s="113"/>
      <c r="AF220" s="113"/>
      <c r="AG220" s="113"/>
      <c r="AH220" s="113"/>
      <c r="AI220" s="113"/>
      <c r="AJ220" s="113"/>
      <c r="AK220" s="113"/>
      <c r="AL220" s="113"/>
      <c r="AM220" s="113"/>
      <c r="AN220" s="113"/>
      <c r="AO220" s="113"/>
      <c r="AP220" s="52">
        <f t="shared" si="3"/>
        <v>0</v>
      </c>
      <c r="AR220" s="45">
        <f t="shared" si="4"/>
        <v>0</v>
      </c>
      <c r="AS220" s="45">
        <f t="shared" si="5"/>
        <v>0</v>
      </c>
      <c r="AT220" s="45" t="str">
        <f t="shared" si="6"/>
        <v>#DIV/0!</v>
      </c>
      <c r="AV220" s="45">
        <f t="shared" si="7"/>
        <v>0</v>
      </c>
      <c r="AW220" s="45">
        <f t="shared" si="8"/>
        <v>0</v>
      </c>
      <c r="AX220" s="45" t="str">
        <f t="shared" si="9"/>
        <v>#DIV/0!</v>
      </c>
      <c r="AZ220" s="45">
        <f t="shared" si="10"/>
        <v>0</v>
      </c>
      <c r="BA220" s="45">
        <f t="shared" si="11"/>
        <v>0</v>
      </c>
      <c r="BB220" s="45" t="str">
        <f t="shared" si="12"/>
        <v>#DIV/0!</v>
      </c>
      <c r="BD220" s="45">
        <f t="shared" si="13"/>
        <v>0</v>
      </c>
      <c r="BE220" s="45">
        <f t="shared" si="14"/>
        <v>0</v>
      </c>
      <c r="BF220" s="45" t="str">
        <f t="shared" si="15"/>
        <v>#DIV/0!</v>
      </c>
      <c r="BH220" s="45">
        <f t="shared" si="16"/>
        <v>0</v>
      </c>
      <c r="BI220" s="45">
        <f t="shared" si="17"/>
        <v>0</v>
      </c>
      <c r="BJ220" s="45" t="str">
        <f t="shared" si="18"/>
        <v>#DIV/0!</v>
      </c>
    </row>
    <row r="221" ht="15.75" customHeight="1">
      <c r="A221" s="52">
        <v>210.0</v>
      </c>
      <c r="B221" s="110"/>
      <c r="C221" s="110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52">
        <f t="shared" si="1"/>
        <v>0</v>
      </c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52">
        <f t="shared" si="2"/>
        <v>0</v>
      </c>
      <c r="AD221" s="113"/>
      <c r="AE221" s="113"/>
      <c r="AF221" s="113"/>
      <c r="AG221" s="113"/>
      <c r="AH221" s="113"/>
      <c r="AI221" s="113"/>
      <c r="AJ221" s="113"/>
      <c r="AK221" s="113"/>
      <c r="AL221" s="113"/>
      <c r="AM221" s="113"/>
      <c r="AN221" s="113"/>
      <c r="AO221" s="113"/>
      <c r="AP221" s="52">
        <f t="shared" si="3"/>
        <v>0</v>
      </c>
      <c r="AR221" s="45">
        <f t="shared" si="4"/>
        <v>0</v>
      </c>
      <c r="AS221" s="45">
        <f t="shared" si="5"/>
        <v>0</v>
      </c>
      <c r="AT221" s="45" t="str">
        <f t="shared" si="6"/>
        <v>#DIV/0!</v>
      </c>
      <c r="AV221" s="45">
        <f t="shared" si="7"/>
        <v>0</v>
      </c>
      <c r="AW221" s="45">
        <f t="shared" si="8"/>
        <v>0</v>
      </c>
      <c r="AX221" s="45" t="str">
        <f t="shared" si="9"/>
        <v>#DIV/0!</v>
      </c>
      <c r="AZ221" s="45">
        <f t="shared" si="10"/>
        <v>0</v>
      </c>
      <c r="BA221" s="45">
        <f t="shared" si="11"/>
        <v>0</v>
      </c>
      <c r="BB221" s="45" t="str">
        <f t="shared" si="12"/>
        <v>#DIV/0!</v>
      </c>
      <c r="BD221" s="45">
        <f t="shared" si="13"/>
        <v>0</v>
      </c>
      <c r="BE221" s="45">
        <f t="shared" si="14"/>
        <v>0</v>
      </c>
      <c r="BF221" s="45" t="str">
        <f t="shared" si="15"/>
        <v>#DIV/0!</v>
      </c>
      <c r="BH221" s="45">
        <f t="shared" si="16"/>
        <v>0</v>
      </c>
      <c r="BI221" s="45">
        <f t="shared" si="17"/>
        <v>0</v>
      </c>
      <c r="BJ221" s="45" t="str">
        <f t="shared" si="18"/>
        <v>#DIV/0!</v>
      </c>
    </row>
    <row r="222" ht="15.75" customHeight="1">
      <c r="A222" s="52">
        <v>211.0</v>
      </c>
      <c r="B222" s="110"/>
      <c r="C222" s="110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52">
        <f t="shared" si="1"/>
        <v>0</v>
      </c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52">
        <f t="shared" si="2"/>
        <v>0</v>
      </c>
      <c r="AD222" s="113"/>
      <c r="AE222" s="113"/>
      <c r="AF222" s="113"/>
      <c r="AG222" s="113"/>
      <c r="AH222" s="113"/>
      <c r="AI222" s="113"/>
      <c r="AJ222" s="113"/>
      <c r="AK222" s="113"/>
      <c r="AL222" s="113"/>
      <c r="AM222" s="113"/>
      <c r="AN222" s="113"/>
      <c r="AO222" s="113"/>
      <c r="AP222" s="52">
        <f t="shared" si="3"/>
        <v>0</v>
      </c>
      <c r="AR222" s="45">
        <f t="shared" si="4"/>
        <v>0</v>
      </c>
      <c r="AS222" s="45">
        <f t="shared" si="5"/>
        <v>0</v>
      </c>
      <c r="AT222" s="45" t="str">
        <f t="shared" si="6"/>
        <v>#DIV/0!</v>
      </c>
      <c r="AV222" s="45">
        <f t="shared" si="7"/>
        <v>0</v>
      </c>
      <c r="AW222" s="45">
        <f t="shared" si="8"/>
        <v>0</v>
      </c>
      <c r="AX222" s="45" t="str">
        <f t="shared" si="9"/>
        <v>#DIV/0!</v>
      </c>
      <c r="AZ222" s="45">
        <f t="shared" si="10"/>
        <v>0</v>
      </c>
      <c r="BA222" s="45">
        <f t="shared" si="11"/>
        <v>0</v>
      </c>
      <c r="BB222" s="45" t="str">
        <f t="shared" si="12"/>
        <v>#DIV/0!</v>
      </c>
      <c r="BD222" s="45">
        <f t="shared" si="13"/>
        <v>0</v>
      </c>
      <c r="BE222" s="45">
        <f t="shared" si="14"/>
        <v>0</v>
      </c>
      <c r="BF222" s="45" t="str">
        <f t="shared" si="15"/>
        <v>#DIV/0!</v>
      </c>
      <c r="BH222" s="45">
        <f t="shared" si="16"/>
        <v>0</v>
      </c>
      <c r="BI222" s="45">
        <f t="shared" si="17"/>
        <v>0</v>
      </c>
      <c r="BJ222" s="45" t="str">
        <f t="shared" si="18"/>
        <v>#DIV/0!</v>
      </c>
    </row>
    <row r="223" ht="15.75" customHeight="1">
      <c r="A223" s="52">
        <v>212.0</v>
      </c>
      <c r="B223" s="110"/>
      <c r="C223" s="110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52">
        <f t="shared" si="1"/>
        <v>0</v>
      </c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52">
        <f t="shared" si="2"/>
        <v>0</v>
      </c>
      <c r="AD223" s="113"/>
      <c r="AE223" s="113"/>
      <c r="AF223" s="113"/>
      <c r="AG223" s="113"/>
      <c r="AH223" s="113"/>
      <c r="AI223" s="113"/>
      <c r="AJ223" s="113"/>
      <c r="AK223" s="113"/>
      <c r="AL223" s="113"/>
      <c r="AM223" s="113"/>
      <c r="AN223" s="113"/>
      <c r="AO223" s="113"/>
      <c r="AP223" s="52">
        <f t="shared" si="3"/>
        <v>0</v>
      </c>
      <c r="AR223" s="45">
        <f t="shared" si="4"/>
        <v>0</v>
      </c>
      <c r="AS223" s="45">
        <f t="shared" si="5"/>
        <v>0</v>
      </c>
      <c r="AT223" s="45" t="str">
        <f t="shared" si="6"/>
        <v>#DIV/0!</v>
      </c>
      <c r="AV223" s="45">
        <f t="shared" si="7"/>
        <v>0</v>
      </c>
      <c r="AW223" s="45">
        <f t="shared" si="8"/>
        <v>0</v>
      </c>
      <c r="AX223" s="45" t="str">
        <f t="shared" si="9"/>
        <v>#DIV/0!</v>
      </c>
      <c r="AZ223" s="45">
        <f t="shared" si="10"/>
        <v>0</v>
      </c>
      <c r="BA223" s="45">
        <f t="shared" si="11"/>
        <v>0</v>
      </c>
      <c r="BB223" s="45" t="str">
        <f t="shared" si="12"/>
        <v>#DIV/0!</v>
      </c>
      <c r="BD223" s="45">
        <f t="shared" si="13"/>
        <v>0</v>
      </c>
      <c r="BE223" s="45">
        <f t="shared" si="14"/>
        <v>0</v>
      </c>
      <c r="BF223" s="45" t="str">
        <f t="shared" si="15"/>
        <v>#DIV/0!</v>
      </c>
      <c r="BH223" s="45">
        <f t="shared" si="16"/>
        <v>0</v>
      </c>
      <c r="BI223" s="45">
        <f t="shared" si="17"/>
        <v>0</v>
      </c>
      <c r="BJ223" s="45" t="str">
        <f t="shared" si="18"/>
        <v>#DIV/0!</v>
      </c>
    </row>
    <row r="224" ht="15.75" customHeight="1">
      <c r="A224" s="52">
        <v>213.0</v>
      </c>
      <c r="B224" s="110"/>
      <c r="C224" s="110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52">
        <f t="shared" si="1"/>
        <v>0</v>
      </c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52">
        <f t="shared" si="2"/>
        <v>0</v>
      </c>
      <c r="AD224" s="113"/>
      <c r="AE224" s="113"/>
      <c r="AF224" s="113"/>
      <c r="AG224" s="113"/>
      <c r="AH224" s="113"/>
      <c r="AI224" s="113"/>
      <c r="AJ224" s="113"/>
      <c r="AK224" s="113"/>
      <c r="AL224" s="113"/>
      <c r="AM224" s="113"/>
      <c r="AN224" s="113"/>
      <c r="AO224" s="113"/>
      <c r="AP224" s="52">
        <f t="shared" si="3"/>
        <v>0</v>
      </c>
      <c r="AR224" s="45">
        <f t="shared" si="4"/>
        <v>0</v>
      </c>
      <c r="AS224" s="45">
        <f t="shared" si="5"/>
        <v>0</v>
      </c>
      <c r="AT224" s="45" t="str">
        <f t="shared" si="6"/>
        <v>#DIV/0!</v>
      </c>
      <c r="AV224" s="45">
        <f t="shared" si="7"/>
        <v>0</v>
      </c>
      <c r="AW224" s="45">
        <f t="shared" si="8"/>
        <v>0</v>
      </c>
      <c r="AX224" s="45" t="str">
        <f t="shared" si="9"/>
        <v>#DIV/0!</v>
      </c>
      <c r="AZ224" s="45">
        <f t="shared" si="10"/>
        <v>0</v>
      </c>
      <c r="BA224" s="45">
        <f t="shared" si="11"/>
        <v>0</v>
      </c>
      <c r="BB224" s="45" t="str">
        <f t="shared" si="12"/>
        <v>#DIV/0!</v>
      </c>
      <c r="BD224" s="45">
        <f t="shared" si="13"/>
        <v>0</v>
      </c>
      <c r="BE224" s="45">
        <f t="shared" si="14"/>
        <v>0</v>
      </c>
      <c r="BF224" s="45" t="str">
        <f t="shared" si="15"/>
        <v>#DIV/0!</v>
      </c>
      <c r="BH224" s="45">
        <f t="shared" si="16"/>
        <v>0</v>
      </c>
      <c r="BI224" s="45">
        <f t="shared" si="17"/>
        <v>0</v>
      </c>
      <c r="BJ224" s="45" t="str">
        <f t="shared" si="18"/>
        <v>#DIV/0!</v>
      </c>
    </row>
    <row r="225" ht="15.75" customHeight="1">
      <c r="A225" s="52">
        <v>214.0</v>
      </c>
      <c r="B225" s="110"/>
      <c r="C225" s="110"/>
      <c r="D225" s="114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52">
        <f t="shared" si="1"/>
        <v>0</v>
      </c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52">
        <f t="shared" si="2"/>
        <v>0</v>
      </c>
      <c r="AD225" s="113"/>
      <c r="AE225" s="113"/>
      <c r="AF225" s="113"/>
      <c r="AG225" s="113"/>
      <c r="AH225" s="113"/>
      <c r="AI225" s="113"/>
      <c r="AJ225" s="113"/>
      <c r="AK225" s="113"/>
      <c r="AL225" s="113"/>
      <c r="AM225" s="113"/>
      <c r="AN225" s="113"/>
      <c r="AO225" s="113"/>
      <c r="AP225" s="52">
        <f t="shared" si="3"/>
        <v>0</v>
      </c>
      <c r="AR225" s="45">
        <f t="shared" si="4"/>
        <v>0</v>
      </c>
      <c r="AS225" s="45">
        <f t="shared" si="5"/>
        <v>0</v>
      </c>
      <c r="AT225" s="45" t="str">
        <f t="shared" si="6"/>
        <v>#DIV/0!</v>
      </c>
      <c r="AV225" s="45">
        <f t="shared" si="7"/>
        <v>0</v>
      </c>
      <c r="AW225" s="45">
        <f t="shared" si="8"/>
        <v>0</v>
      </c>
      <c r="AX225" s="45" t="str">
        <f t="shared" si="9"/>
        <v>#DIV/0!</v>
      </c>
      <c r="AZ225" s="45">
        <f t="shared" si="10"/>
        <v>0</v>
      </c>
      <c r="BA225" s="45">
        <f t="shared" si="11"/>
        <v>0</v>
      </c>
      <c r="BB225" s="45" t="str">
        <f t="shared" si="12"/>
        <v>#DIV/0!</v>
      </c>
      <c r="BD225" s="45">
        <f t="shared" si="13"/>
        <v>0</v>
      </c>
      <c r="BE225" s="45">
        <f t="shared" si="14"/>
        <v>0</v>
      </c>
      <c r="BF225" s="45" t="str">
        <f t="shared" si="15"/>
        <v>#DIV/0!</v>
      </c>
      <c r="BH225" s="45">
        <f t="shared" si="16"/>
        <v>0</v>
      </c>
      <c r="BI225" s="45">
        <f t="shared" si="17"/>
        <v>0</v>
      </c>
      <c r="BJ225" s="45" t="str">
        <f t="shared" si="18"/>
        <v>#DIV/0!</v>
      </c>
    </row>
    <row r="226" ht="15.75" customHeight="1">
      <c r="A226" s="52">
        <v>215.0</v>
      </c>
      <c r="B226" s="110"/>
      <c r="C226" s="110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52">
        <f t="shared" si="1"/>
        <v>0</v>
      </c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52">
        <f t="shared" si="2"/>
        <v>0</v>
      </c>
      <c r="AD226" s="113"/>
      <c r="AE226" s="113"/>
      <c r="AF226" s="113"/>
      <c r="AG226" s="113"/>
      <c r="AH226" s="113"/>
      <c r="AI226" s="113"/>
      <c r="AJ226" s="113"/>
      <c r="AK226" s="113"/>
      <c r="AL226" s="113"/>
      <c r="AM226" s="113"/>
      <c r="AN226" s="113"/>
      <c r="AO226" s="113"/>
      <c r="AP226" s="52">
        <f t="shared" si="3"/>
        <v>0</v>
      </c>
      <c r="AR226" s="45">
        <f t="shared" si="4"/>
        <v>0</v>
      </c>
      <c r="AS226" s="45">
        <f t="shared" si="5"/>
        <v>0</v>
      </c>
      <c r="AT226" s="45" t="str">
        <f t="shared" si="6"/>
        <v>#DIV/0!</v>
      </c>
      <c r="AV226" s="45">
        <f t="shared" si="7"/>
        <v>0</v>
      </c>
      <c r="AW226" s="45">
        <f t="shared" si="8"/>
        <v>0</v>
      </c>
      <c r="AX226" s="45" t="str">
        <f t="shared" si="9"/>
        <v>#DIV/0!</v>
      </c>
      <c r="AZ226" s="45">
        <f t="shared" si="10"/>
        <v>0</v>
      </c>
      <c r="BA226" s="45">
        <f t="shared" si="11"/>
        <v>0</v>
      </c>
      <c r="BB226" s="45" t="str">
        <f t="shared" si="12"/>
        <v>#DIV/0!</v>
      </c>
      <c r="BD226" s="45">
        <f t="shared" si="13"/>
        <v>0</v>
      </c>
      <c r="BE226" s="45">
        <f t="shared" si="14"/>
        <v>0</v>
      </c>
      <c r="BF226" s="45" t="str">
        <f t="shared" si="15"/>
        <v>#DIV/0!</v>
      </c>
      <c r="BH226" s="45">
        <f t="shared" si="16"/>
        <v>0</v>
      </c>
      <c r="BI226" s="45">
        <f t="shared" si="17"/>
        <v>0</v>
      </c>
      <c r="BJ226" s="45" t="str">
        <f t="shared" si="18"/>
        <v>#DIV/0!</v>
      </c>
    </row>
    <row r="227" ht="15.75" customHeight="1">
      <c r="A227" s="52">
        <v>216.0</v>
      </c>
      <c r="B227" s="110"/>
      <c r="C227" s="110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52">
        <f t="shared" si="1"/>
        <v>0</v>
      </c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52">
        <f t="shared" si="2"/>
        <v>0</v>
      </c>
      <c r="AD227" s="113"/>
      <c r="AE227" s="113"/>
      <c r="AF227" s="113"/>
      <c r="AG227" s="113"/>
      <c r="AH227" s="113"/>
      <c r="AI227" s="113"/>
      <c r="AJ227" s="113"/>
      <c r="AK227" s="113"/>
      <c r="AL227" s="113"/>
      <c r="AM227" s="113"/>
      <c r="AN227" s="113"/>
      <c r="AO227" s="113"/>
      <c r="AP227" s="52">
        <f t="shared" si="3"/>
        <v>0</v>
      </c>
      <c r="AR227" s="45">
        <f t="shared" si="4"/>
        <v>0</v>
      </c>
      <c r="AS227" s="45">
        <f t="shared" si="5"/>
        <v>0</v>
      </c>
      <c r="AT227" s="45" t="str">
        <f t="shared" si="6"/>
        <v>#DIV/0!</v>
      </c>
      <c r="AV227" s="45">
        <f t="shared" si="7"/>
        <v>0</v>
      </c>
      <c r="AW227" s="45">
        <f t="shared" si="8"/>
        <v>0</v>
      </c>
      <c r="AX227" s="45" t="str">
        <f t="shared" si="9"/>
        <v>#DIV/0!</v>
      </c>
      <c r="AZ227" s="45">
        <f t="shared" si="10"/>
        <v>0</v>
      </c>
      <c r="BA227" s="45">
        <f t="shared" si="11"/>
        <v>0</v>
      </c>
      <c r="BB227" s="45" t="str">
        <f t="shared" si="12"/>
        <v>#DIV/0!</v>
      </c>
      <c r="BD227" s="45">
        <f t="shared" si="13"/>
        <v>0</v>
      </c>
      <c r="BE227" s="45">
        <f t="shared" si="14"/>
        <v>0</v>
      </c>
      <c r="BF227" s="45" t="str">
        <f t="shared" si="15"/>
        <v>#DIV/0!</v>
      </c>
      <c r="BH227" s="45">
        <f t="shared" si="16"/>
        <v>0</v>
      </c>
      <c r="BI227" s="45">
        <f t="shared" si="17"/>
        <v>0</v>
      </c>
      <c r="BJ227" s="45" t="str">
        <f t="shared" si="18"/>
        <v>#DIV/0!</v>
      </c>
    </row>
    <row r="228" ht="15.75" customHeight="1">
      <c r="A228" s="52">
        <v>217.0</v>
      </c>
      <c r="B228" s="110"/>
      <c r="C228" s="110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52">
        <f t="shared" si="1"/>
        <v>0</v>
      </c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52">
        <f t="shared" si="2"/>
        <v>0</v>
      </c>
      <c r="AD228" s="113"/>
      <c r="AE228" s="113"/>
      <c r="AF228" s="113"/>
      <c r="AG228" s="113"/>
      <c r="AH228" s="113"/>
      <c r="AI228" s="113"/>
      <c r="AJ228" s="113"/>
      <c r="AK228" s="113"/>
      <c r="AL228" s="113"/>
      <c r="AM228" s="113"/>
      <c r="AN228" s="113"/>
      <c r="AO228" s="113"/>
      <c r="AP228" s="52">
        <f t="shared" si="3"/>
        <v>0</v>
      </c>
      <c r="AR228" s="45">
        <f t="shared" si="4"/>
        <v>0</v>
      </c>
      <c r="AS228" s="45">
        <f t="shared" si="5"/>
        <v>0</v>
      </c>
      <c r="AT228" s="45" t="str">
        <f t="shared" si="6"/>
        <v>#DIV/0!</v>
      </c>
      <c r="AV228" s="45">
        <f t="shared" si="7"/>
        <v>0</v>
      </c>
      <c r="AW228" s="45">
        <f t="shared" si="8"/>
        <v>0</v>
      </c>
      <c r="AX228" s="45" t="str">
        <f t="shared" si="9"/>
        <v>#DIV/0!</v>
      </c>
      <c r="AZ228" s="45">
        <f t="shared" si="10"/>
        <v>0</v>
      </c>
      <c r="BA228" s="45">
        <f t="shared" si="11"/>
        <v>0</v>
      </c>
      <c r="BB228" s="45" t="str">
        <f t="shared" si="12"/>
        <v>#DIV/0!</v>
      </c>
      <c r="BD228" s="45">
        <f t="shared" si="13"/>
        <v>0</v>
      </c>
      <c r="BE228" s="45">
        <f t="shared" si="14"/>
        <v>0</v>
      </c>
      <c r="BF228" s="45" t="str">
        <f t="shared" si="15"/>
        <v>#DIV/0!</v>
      </c>
      <c r="BH228" s="45">
        <f t="shared" si="16"/>
        <v>0</v>
      </c>
      <c r="BI228" s="45">
        <f t="shared" si="17"/>
        <v>0</v>
      </c>
      <c r="BJ228" s="45" t="str">
        <f t="shared" si="18"/>
        <v>#DIV/0!</v>
      </c>
    </row>
    <row r="229" ht="15.75" customHeight="1">
      <c r="A229" s="52">
        <v>218.0</v>
      </c>
      <c r="B229" s="110"/>
      <c r="C229" s="110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52">
        <f t="shared" si="1"/>
        <v>0</v>
      </c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52">
        <f t="shared" si="2"/>
        <v>0</v>
      </c>
      <c r="AD229" s="113"/>
      <c r="AE229" s="113"/>
      <c r="AF229" s="113"/>
      <c r="AG229" s="113"/>
      <c r="AH229" s="113"/>
      <c r="AI229" s="113"/>
      <c r="AJ229" s="113"/>
      <c r="AK229" s="113"/>
      <c r="AL229" s="113"/>
      <c r="AM229" s="113"/>
      <c r="AN229" s="113"/>
      <c r="AO229" s="113"/>
      <c r="AP229" s="52">
        <f t="shared" si="3"/>
        <v>0</v>
      </c>
      <c r="AR229" s="45">
        <f t="shared" si="4"/>
        <v>0</v>
      </c>
      <c r="AS229" s="45">
        <f t="shared" si="5"/>
        <v>0</v>
      </c>
      <c r="AT229" s="45" t="str">
        <f t="shared" si="6"/>
        <v>#DIV/0!</v>
      </c>
      <c r="AV229" s="45">
        <f t="shared" si="7"/>
        <v>0</v>
      </c>
      <c r="AW229" s="45">
        <f t="shared" si="8"/>
        <v>0</v>
      </c>
      <c r="AX229" s="45" t="str">
        <f t="shared" si="9"/>
        <v>#DIV/0!</v>
      </c>
      <c r="AZ229" s="45">
        <f t="shared" si="10"/>
        <v>0</v>
      </c>
      <c r="BA229" s="45">
        <f t="shared" si="11"/>
        <v>0</v>
      </c>
      <c r="BB229" s="45" t="str">
        <f t="shared" si="12"/>
        <v>#DIV/0!</v>
      </c>
      <c r="BD229" s="45">
        <f t="shared" si="13"/>
        <v>0</v>
      </c>
      <c r="BE229" s="45">
        <f t="shared" si="14"/>
        <v>0</v>
      </c>
      <c r="BF229" s="45" t="str">
        <f t="shared" si="15"/>
        <v>#DIV/0!</v>
      </c>
      <c r="BH229" s="45">
        <f t="shared" si="16"/>
        <v>0</v>
      </c>
      <c r="BI229" s="45">
        <f t="shared" si="17"/>
        <v>0</v>
      </c>
      <c r="BJ229" s="45" t="str">
        <f t="shared" si="18"/>
        <v>#DIV/0!</v>
      </c>
    </row>
    <row r="230" ht="15.75" customHeight="1">
      <c r="A230" s="52">
        <v>219.0</v>
      </c>
      <c r="B230" s="110"/>
      <c r="C230" s="110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52">
        <f t="shared" si="1"/>
        <v>0</v>
      </c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52">
        <f t="shared" si="2"/>
        <v>0</v>
      </c>
      <c r="AD230" s="113"/>
      <c r="AE230" s="113"/>
      <c r="AF230" s="113"/>
      <c r="AG230" s="113"/>
      <c r="AH230" s="113"/>
      <c r="AI230" s="113"/>
      <c r="AJ230" s="113"/>
      <c r="AK230" s="113"/>
      <c r="AL230" s="113"/>
      <c r="AM230" s="113"/>
      <c r="AN230" s="113"/>
      <c r="AO230" s="113"/>
      <c r="AP230" s="52">
        <f t="shared" si="3"/>
        <v>0</v>
      </c>
      <c r="AR230" s="45">
        <f t="shared" si="4"/>
        <v>0</v>
      </c>
      <c r="AS230" s="45">
        <f t="shared" si="5"/>
        <v>0</v>
      </c>
      <c r="AT230" s="45" t="str">
        <f t="shared" si="6"/>
        <v>#DIV/0!</v>
      </c>
      <c r="AV230" s="45">
        <f t="shared" si="7"/>
        <v>0</v>
      </c>
      <c r="AW230" s="45">
        <f t="shared" si="8"/>
        <v>0</v>
      </c>
      <c r="AX230" s="45" t="str">
        <f t="shared" si="9"/>
        <v>#DIV/0!</v>
      </c>
      <c r="AZ230" s="45">
        <f t="shared" si="10"/>
        <v>0</v>
      </c>
      <c r="BA230" s="45">
        <f t="shared" si="11"/>
        <v>0</v>
      </c>
      <c r="BB230" s="45" t="str">
        <f t="shared" si="12"/>
        <v>#DIV/0!</v>
      </c>
      <c r="BD230" s="45">
        <f t="shared" si="13"/>
        <v>0</v>
      </c>
      <c r="BE230" s="45">
        <f t="shared" si="14"/>
        <v>0</v>
      </c>
      <c r="BF230" s="45" t="str">
        <f t="shared" si="15"/>
        <v>#DIV/0!</v>
      </c>
      <c r="BH230" s="45">
        <f t="shared" si="16"/>
        <v>0</v>
      </c>
      <c r="BI230" s="45">
        <f t="shared" si="17"/>
        <v>0</v>
      </c>
      <c r="BJ230" s="45" t="str">
        <f t="shared" si="18"/>
        <v>#DIV/0!</v>
      </c>
    </row>
    <row r="231" ht="15.75" customHeight="1">
      <c r="A231" s="52">
        <v>220.0</v>
      </c>
      <c r="B231" s="110"/>
      <c r="C231" s="110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52">
        <f t="shared" si="1"/>
        <v>0</v>
      </c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52">
        <f t="shared" si="2"/>
        <v>0</v>
      </c>
      <c r="AD231" s="113"/>
      <c r="AE231" s="113"/>
      <c r="AF231" s="113"/>
      <c r="AG231" s="113"/>
      <c r="AH231" s="113"/>
      <c r="AI231" s="113"/>
      <c r="AJ231" s="113"/>
      <c r="AK231" s="113"/>
      <c r="AL231" s="113"/>
      <c r="AM231" s="113"/>
      <c r="AN231" s="113"/>
      <c r="AO231" s="113"/>
      <c r="AP231" s="52">
        <f t="shared" si="3"/>
        <v>0</v>
      </c>
      <c r="AR231" s="45">
        <f t="shared" si="4"/>
        <v>0</v>
      </c>
      <c r="AS231" s="45">
        <f t="shared" si="5"/>
        <v>0</v>
      </c>
      <c r="AT231" s="45" t="str">
        <f t="shared" si="6"/>
        <v>#DIV/0!</v>
      </c>
      <c r="AV231" s="45">
        <f t="shared" si="7"/>
        <v>0</v>
      </c>
      <c r="AW231" s="45">
        <f t="shared" si="8"/>
        <v>0</v>
      </c>
      <c r="AX231" s="45" t="str">
        <f t="shared" si="9"/>
        <v>#DIV/0!</v>
      </c>
      <c r="AZ231" s="45">
        <f t="shared" si="10"/>
        <v>0</v>
      </c>
      <c r="BA231" s="45">
        <f t="shared" si="11"/>
        <v>0</v>
      </c>
      <c r="BB231" s="45" t="str">
        <f t="shared" si="12"/>
        <v>#DIV/0!</v>
      </c>
      <c r="BD231" s="45">
        <f t="shared" si="13"/>
        <v>0</v>
      </c>
      <c r="BE231" s="45">
        <f t="shared" si="14"/>
        <v>0</v>
      </c>
      <c r="BF231" s="45" t="str">
        <f t="shared" si="15"/>
        <v>#DIV/0!</v>
      </c>
      <c r="BH231" s="45">
        <f t="shared" si="16"/>
        <v>0</v>
      </c>
      <c r="BI231" s="45">
        <f t="shared" si="17"/>
        <v>0</v>
      </c>
      <c r="BJ231" s="45" t="str">
        <f t="shared" si="18"/>
        <v>#DIV/0!</v>
      </c>
    </row>
    <row r="232" ht="15.75" customHeight="1">
      <c r="A232" s="52">
        <v>221.0</v>
      </c>
      <c r="B232" s="110"/>
      <c r="C232" s="110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52">
        <f t="shared" si="1"/>
        <v>0</v>
      </c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52">
        <f t="shared" si="2"/>
        <v>0</v>
      </c>
      <c r="AD232" s="113"/>
      <c r="AE232" s="113"/>
      <c r="AF232" s="113"/>
      <c r="AG232" s="113"/>
      <c r="AH232" s="113"/>
      <c r="AI232" s="113"/>
      <c r="AJ232" s="113"/>
      <c r="AK232" s="113"/>
      <c r="AL232" s="113"/>
      <c r="AM232" s="113"/>
      <c r="AN232" s="113"/>
      <c r="AO232" s="113"/>
      <c r="AP232" s="52">
        <f t="shared" si="3"/>
        <v>0</v>
      </c>
      <c r="AR232" s="45">
        <f t="shared" si="4"/>
        <v>0</v>
      </c>
      <c r="AS232" s="45">
        <f t="shared" si="5"/>
        <v>0</v>
      </c>
      <c r="AT232" s="45" t="str">
        <f t="shared" si="6"/>
        <v>#DIV/0!</v>
      </c>
      <c r="AV232" s="45">
        <f t="shared" si="7"/>
        <v>0</v>
      </c>
      <c r="AW232" s="45">
        <f t="shared" si="8"/>
        <v>0</v>
      </c>
      <c r="AX232" s="45" t="str">
        <f t="shared" si="9"/>
        <v>#DIV/0!</v>
      </c>
      <c r="AZ232" s="45">
        <f t="shared" si="10"/>
        <v>0</v>
      </c>
      <c r="BA232" s="45">
        <f t="shared" si="11"/>
        <v>0</v>
      </c>
      <c r="BB232" s="45" t="str">
        <f t="shared" si="12"/>
        <v>#DIV/0!</v>
      </c>
      <c r="BD232" s="45">
        <f t="shared" si="13"/>
        <v>0</v>
      </c>
      <c r="BE232" s="45">
        <f t="shared" si="14"/>
        <v>0</v>
      </c>
      <c r="BF232" s="45" t="str">
        <f t="shared" si="15"/>
        <v>#DIV/0!</v>
      </c>
      <c r="BH232" s="45">
        <f t="shared" si="16"/>
        <v>0</v>
      </c>
      <c r="BI232" s="45">
        <f t="shared" si="17"/>
        <v>0</v>
      </c>
      <c r="BJ232" s="45" t="str">
        <f t="shared" si="18"/>
        <v>#DIV/0!</v>
      </c>
    </row>
    <row r="233" ht="15.75" customHeight="1">
      <c r="A233" s="52">
        <v>222.0</v>
      </c>
      <c r="B233" s="110"/>
      <c r="C233" s="110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52">
        <f t="shared" si="1"/>
        <v>0</v>
      </c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52">
        <f t="shared" si="2"/>
        <v>0</v>
      </c>
      <c r="AD233" s="113"/>
      <c r="AE233" s="113"/>
      <c r="AF233" s="113"/>
      <c r="AG233" s="113"/>
      <c r="AH233" s="113"/>
      <c r="AI233" s="113"/>
      <c r="AJ233" s="113"/>
      <c r="AK233" s="113"/>
      <c r="AL233" s="113"/>
      <c r="AM233" s="113"/>
      <c r="AN233" s="113"/>
      <c r="AO233" s="113"/>
      <c r="AP233" s="52">
        <f t="shared" si="3"/>
        <v>0</v>
      </c>
      <c r="AR233" s="45">
        <f t="shared" si="4"/>
        <v>0</v>
      </c>
      <c r="AS233" s="45">
        <f t="shared" si="5"/>
        <v>0</v>
      </c>
      <c r="AT233" s="45" t="str">
        <f t="shared" si="6"/>
        <v>#DIV/0!</v>
      </c>
      <c r="AV233" s="45">
        <f t="shared" si="7"/>
        <v>0</v>
      </c>
      <c r="AW233" s="45">
        <f t="shared" si="8"/>
        <v>0</v>
      </c>
      <c r="AX233" s="45" t="str">
        <f t="shared" si="9"/>
        <v>#DIV/0!</v>
      </c>
      <c r="AZ233" s="45">
        <f t="shared" si="10"/>
        <v>0</v>
      </c>
      <c r="BA233" s="45">
        <f t="shared" si="11"/>
        <v>0</v>
      </c>
      <c r="BB233" s="45" t="str">
        <f t="shared" si="12"/>
        <v>#DIV/0!</v>
      </c>
      <c r="BD233" s="45">
        <f t="shared" si="13"/>
        <v>0</v>
      </c>
      <c r="BE233" s="45">
        <f t="shared" si="14"/>
        <v>0</v>
      </c>
      <c r="BF233" s="45" t="str">
        <f t="shared" si="15"/>
        <v>#DIV/0!</v>
      </c>
      <c r="BH233" s="45">
        <f t="shared" si="16"/>
        <v>0</v>
      </c>
      <c r="BI233" s="45">
        <f t="shared" si="17"/>
        <v>0</v>
      </c>
      <c r="BJ233" s="45" t="str">
        <f t="shared" si="18"/>
        <v>#DIV/0!</v>
      </c>
    </row>
    <row r="234" ht="15.75" customHeight="1">
      <c r="A234" s="52">
        <v>223.0</v>
      </c>
      <c r="B234" s="110"/>
      <c r="C234" s="110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52">
        <f t="shared" si="1"/>
        <v>0</v>
      </c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52">
        <f t="shared" si="2"/>
        <v>0</v>
      </c>
      <c r="AD234" s="113"/>
      <c r="AE234" s="113"/>
      <c r="AF234" s="113"/>
      <c r="AG234" s="113"/>
      <c r="AH234" s="113"/>
      <c r="AI234" s="113"/>
      <c r="AJ234" s="113"/>
      <c r="AK234" s="113"/>
      <c r="AL234" s="113"/>
      <c r="AM234" s="113"/>
      <c r="AN234" s="113"/>
      <c r="AO234" s="113"/>
      <c r="AP234" s="52">
        <f t="shared" si="3"/>
        <v>0</v>
      </c>
      <c r="AR234" s="45">
        <f t="shared" si="4"/>
        <v>0</v>
      </c>
      <c r="AS234" s="45">
        <f t="shared" si="5"/>
        <v>0</v>
      </c>
      <c r="AT234" s="45" t="str">
        <f t="shared" si="6"/>
        <v>#DIV/0!</v>
      </c>
      <c r="AV234" s="45">
        <f t="shared" si="7"/>
        <v>0</v>
      </c>
      <c r="AW234" s="45">
        <f t="shared" si="8"/>
        <v>0</v>
      </c>
      <c r="AX234" s="45" t="str">
        <f t="shared" si="9"/>
        <v>#DIV/0!</v>
      </c>
      <c r="AZ234" s="45">
        <f t="shared" si="10"/>
        <v>0</v>
      </c>
      <c r="BA234" s="45">
        <f t="shared" si="11"/>
        <v>0</v>
      </c>
      <c r="BB234" s="45" t="str">
        <f t="shared" si="12"/>
        <v>#DIV/0!</v>
      </c>
      <c r="BD234" s="45">
        <f t="shared" si="13"/>
        <v>0</v>
      </c>
      <c r="BE234" s="45">
        <f t="shared" si="14"/>
        <v>0</v>
      </c>
      <c r="BF234" s="45" t="str">
        <f t="shared" si="15"/>
        <v>#DIV/0!</v>
      </c>
      <c r="BH234" s="45">
        <f t="shared" si="16"/>
        <v>0</v>
      </c>
      <c r="BI234" s="45">
        <f t="shared" si="17"/>
        <v>0</v>
      </c>
      <c r="BJ234" s="45" t="str">
        <f t="shared" si="18"/>
        <v>#DIV/0!</v>
      </c>
    </row>
    <row r="235" ht="15.75" customHeight="1">
      <c r="A235" s="52">
        <v>224.0</v>
      </c>
      <c r="B235" s="110"/>
      <c r="C235" s="110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52">
        <f t="shared" si="1"/>
        <v>0</v>
      </c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08">
        <f t="shared" si="2"/>
        <v>0</v>
      </c>
      <c r="AD235" s="113"/>
      <c r="AE235" s="113"/>
      <c r="AF235" s="113"/>
      <c r="AG235" s="113"/>
      <c r="AH235" s="113"/>
      <c r="AI235" s="113"/>
      <c r="AJ235" s="113"/>
      <c r="AK235" s="113"/>
      <c r="AL235" s="113"/>
      <c r="AM235" s="113"/>
      <c r="AN235" s="113"/>
      <c r="AO235" s="113"/>
      <c r="AP235" s="52">
        <f t="shared" si="3"/>
        <v>0</v>
      </c>
      <c r="AR235" s="117">
        <f t="shared" si="4"/>
        <v>0</v>
      </c>
      <c r="AS235" s="117">
        <f t="shared" si="5"/>
        <v>0</v>
      </c>
      <c r="AT235" s="117" t="str">
        <f t="shared" si="6"/>
        <v>#DIV/0!</v>
      </c>
      <c r="AV235" s="45">
        <f t="shared" si="7"/>
        <v>0</v>
      </c>
      <c r="AW235" s="45">
        <f t="shared" si="8"/>
        <v>0</v>
      </c>
      <c r="AX235" s="45" t="str">
        <f t="shared" si="9"/>
        <v>#DIV/0!</v>
      </c>
      <c r="AZ235" s="45">
        <f t="shared" si="10"/>
        <v>0</v>
      </c>
      <c r="BA235" s="45">
        <f t="shared" si="11"/>
        <v>0</v>
      </c>
      <c r="BB235" s="45" t="str">
        <f t="shared" si="12"/>
        <v>#DIV/0!</v>
      </c>
      <c r="BD235" s="45">
        <f t="shared" si="13"/>
        <v>0</v>
      </c>
      <c r="BE235" s="45">
        <f t="shared" si="14"/>
        <v>0</v>
      </c>
      <c r="BF235" s="45" t="str">
        <f t="shared" si="15"/>
        <v>#DIV/0!</v>
      </c>
      <c r="BH235" s="45">
        <f t="shared" si="16"/>
        <v>0</v>
      </c>
      <c r="BI235" s="45">
        <f t="shared" si="17"/>
        <v>0</v>
      </c>
      <c r="BJ235" s="45" t="str">
        <f t="shared" si="18"/>
        <v>#DIV/0!</v>
      </c>
    </row>
    <row r="236" ht="15.75" customHeight="1">
      <c r="A236" s="95"/>
      <c r="B236" s="95"/>
      <c r="P236" s="95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9"/>
      <c r="AR236" s="118"/>
      <c r="AS236" s="118"/>
      <c r="AT236" s="118"/>
    </row>
    <row r="237" ht="15.75" customHeight="1">
      <c r="A237" s="95"/>
      <c r="B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</row>
    <row r="238" ht="15.75" customHeight="1">
      <c r="A238" s="95"/>
      <c r="B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</row>
    <row r="239" ht="26.25" customHeight="1">
      <c r="A239" s="95"/>
      <c r="B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Q239" s="120" t="s">
        <v>116</v>
      </c>
      <c r="AR239" s="121"/>
      <c r="AS239" s="122"/>
      <c r="AT239" s="123">
        <f>COUNT(AT12:AT235)</f>
        <v>0</v>
      </c>
      <c r="AU239" s="124"/>
      <c r="AV239" s="125"/>
      <c r="AW239" s="126"/>
      <c r="AX239" s="123">
        <f>COUNT(AX12:AX235)</f>
        <v>0</v>
      </c>
      <c r="AY239" s="124"/>
      <c r="AZ239" s="125"/>
      <c r="BA239" s="126"/>
      <c r="BB239" s="123">
        <f>COUNT(BB12:BB235)</f>
        <v>0</v>
      </c>
      <c r="BC239" s="124"/>
      <c r="BD239" s="125"/>
      <c r="BE239" s="126"/>
      <c r="BF239" s="123">
        <f>COUNT(BF12:BF235)</f>
        <v>0</v>
      </c>
      <c r="BG239" s="124"/>
      <c r="BH239" s="125"/>
      <c r="BI239" s="126"/>
      <c r="BJ239" s="123">
        <f>COUNT(BJ12:BJ235)</f>
        <v>0</v>
      </c>
      <c r="BK239" s="127"/>
      <c r="BL239" s="127"/>
    </row>
    <row r="240" ht="27.0" customHeight="1">
      <c r="A240" s="95"/>
      <c r="B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Q240" s="128" t="s">
        <v>117</v>
      </c>
      <c r="AR240" s="129"/>
      <c r="AS240" s="103"/>
      <c r="AT240" s="130">
        <f>COUNTIF(AT12:AT235,"&gt;="&amp;'set target form'!F14)</f>
        <v>0</v>
      </c>
      <c r="AU240" s="131"/>
      <c r="AV240" s="132"/>
      <c r="AW240" s="133"/>
      <c r="AX240" s="130">
        <f>COUNTIF(AX12:AX235,"&gt;="&amp;'set target form'!F14)</f>
        <v>0</v>
      </c>
      <c r="AY240" s="131"/>
      <c r="AZ240" s="132"/>
      <c r="BA240" s="133"/>
      <c r="BB240" s="130">
        <f>COUNTIF(BB12:BB235,"&gt;="&amp;'set target form'!F14)</f>
        <v>0</v>
      </c>
      <c r="BC240" s="131"/>
      <c r="BD240" s="132"/>
      <c r="BE240" s="133"/>
      <c r="BF240" s="130">
        <f>COUNTIF(BF12:BF235,"&gt;="&amp;'set target form'!F14)</f>
        <v>0</v>
      </c>
      <c r="BG240" s="131"/>
      <c r="BH240" s="132"/>
      <c r="BI240" s="133"/>
      <c r="BJ240" s="130">
        <f>COUNTIF(BJ12:BJ235,"&gt;="&amp;'set target form'!F14)</f>
        <v>0</v>
      </c>
      <c r="BK240" s="127"/>
      <c r="BL240" s="127"/>
    </row>
    <row r="241" ht="58.5" customHeight="1">
      <c r="A241" s="95"/>
      <c r="B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Q241" s="134" t="s">
        <v>118</v>
      </c>
      <c r="AR241" s="135"/>
      <c r="AS241" s="136"/>
      <c r="AT241" s="137" t="str">
        <f>AT240/AT239*100</f>
        <v>#DIV/0!</v>
      </c>
      <c r="AU241" s="138"/>
      <c r="AV241" s="139"/>
      <c r="AW241" s="136"/>
      <c r="AX241" s="137" t="str">
        <f>AX240/AX239*100</f>
        <v>#DIV/0!</v>
      </c>
      <c r="AY241" s="138"/>
      <c r="AZ241" s="139"/>
      <c r="BA241" s="136"/>
      <c r="BB241" s="137" t="str">
        <f>BB240/BB239*100</f>
        <v>#DIV/0!</v>
      </c>
      <c r="BC241" s="138"/>
      <c r="BD241" s="139"/>
      <c r="BE241" s="136"/>
      <c r="BF241" s="137" t="str">
        <f>BF240/BF239*100</f>
        <v>#DIV/0!</v>
      </c>
      <c r="BG241" s="138"/>
      <c r="BH241" s="139"/>
      <c r="BI241" s="136"/>
      <c r="BJ241" s="137" t="str">
        <f>BJ240/BJ239*100</f>
        <v>#DIV/0!</v>
      </c>
      <c r="BK241" s="140"/>
      <c r="BL241" s="140"/>
    </row>
    <row r="242" ht="15.75" customHeight="1">
      <c r="A242" s="95"/>
      <c r="B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</row>
    <row r="243" ht="15.75" customHeight="1">
      <c r="A243" s="95"/>
      <c r="B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</row>
    <row r="244" ht="15.75" customHeight="1">
      <c r="A244" s="95"/>
      <c r="B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</row>
    <row r="245" ht="15.75" customHeight="1">
      <c r="A245" s="95"/>
      <c r="B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Q245" s="141"/>
    </row>
    <row r="246" ht="15.75" customHeight="1">
      <c r="A246" s="95"/>
      <c r="B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Q246" s="141"/>
    </row>
    <row r="247" ht="15.75" customHeight="1">
      <c r="A247" s="95"/>
      <c r="B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Q247" s="141"/>
    </row>
    <row r="248" ht="15.75" customHeight="1">
      <c r="A248" s="95"/>
      <c r="B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</row>
    <row r="249" ht="15.75" customHeight="1">
      <c r="A249" s="95"/>
      <c r="B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R249" s="142" t="s">
        <v>119</v>
      </c>
      <c r="AS249" s="143"/>
      <c r="AT249" s="143"/>
      <c r="AU249" s="143"/>
      <c r="AV249" s="143"/>
      <c r="AW249" s="144"/>
    </row>
    <row r="250" ht="15.75" customHeight="1">
      <c r="A250" s="95"/>
      <c r="B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R250" s="145" t="s">
        <v>120</v>
      </c>
      <c r="AS250" s="146" t="str">
        <f>'set target form'!E9</f>
        <v>CO1</v>
      </c>
      <c r="AT250" s="146" t="str">
        <f>'set target form'!F9</f>
        <v>CO2</v>
      </c>
      <c r="AU250" s="146" t="str">
        <f>'set target form'!G9</f>
        <v>CO3</v>
      </c>
      <c r="AV250" s="146" t="str">
        <f>'set target form'!H9</f>
        <v>CO4</v>
      </c>
      <c r="AW250" s="147" t="str">
        <f>'set target form'!I9</f>
        <v>CO5</v>
      </c>
    </row>
    <row r="251" ht="15.75" customHeight="1">
      <c r="A251" s="95"/>
      <c r="B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R251" s="148" t="s">
        <v>121</v>
      </c>
      <c r="AS251" s="149">
        <f>SUMIFS($D$9:$O$9,$D$8:$O$8,1)+SUMIFS($D$9:$O$9,$D$7:$O$7,1)</f>
        <v>40</v>
      </c>
      <c r="AT251" s="149">
        <f>SUMIFS($D$9:$O$9,$D$8:$O$8,2)+SUMIFS($D$9:$O$9,$D$7:$O$7,2)</f>
        <v>40</v>
      </c>
      <c r="AU251" s="149">
        <f>SUMIFS($D$9:$O$9,$D$8:$O$8,3)+SUMIFS($D$9:$O$9,$D$7:$O$7,3)</f>
        <v>0</v>
      </c>
      <c r="AV251" s="149">
        <f>SUMIFS($D$9:$O$9,$D$8:$O$8,4)+SUMIFS($D$9:$O$9,$D$7:$O$7,4)</f>
        <v>0</v>
      </c>
      <c r="AW251" s="150">
        <f>SUMIFS($D$9:$O$9,$D$8:$O$8,5)+SUMIFS($D$9:$O$9,$D$7:$O$7,5)</f>
        <v>0</v>
      </c>
    </row>
    <row r="252" ht="15.75" customHeight="1">
      <c r="A252" s="95"/>
      <c r="B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R252" s="151" t="s">
        <v>122</v>
      </c>
      <c r="AS252" s="152">
        <f>SUMIFS($Q$9:$AB$9,$Q$8:$AB$8,1)+SUMIFS($Q$9:$AB$9,$Q$7:$AB$7,1)</f>
        <v>0</v>
      </c>
      <c r="AT252" s="152">
        <f>SUMIFS($Q$9:$AB$9,$Q$8:$AB$8,2)+SUMIFS($Q$9:$AB$9,$Q$7:$AB$7,2)</f>
        <v>0</v>
      </c>
      <c r="AU252" s="152">
        <f>SUMIFS($Q$9:$AB$9,$Q$8:$AB$8,3)+SUMIFS($Q$9:$AB$9,$Q$7:$AB$7,3)</f>
        <v>65</v>
      </c>
      <c r="AV252" s="152">
        <f>SUMIFS($Q$9:$AB$9,$Q$8:$AB$8,4)+SUMIFS($Q$9:$AB$9,$Q$7:$AB$7,4)</f>
        <v>15</v>
      </c>
      <c r="AW252" s="153">
        <f>SUMIFS($Q$9:$AB$9,$Q$8:$AB$8,5)+SUMIFS($Q$9:$AB$9,$Q$7:$AB$7,5)</f>
        <v>0</v>
      </c>
    </row>
    <row r="253" ht="15.75" customHeight="1">
      <c r="A253" s="95"/>
      <c r="B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R253" s="154" t="s">
        <v>123</v>
      </c>
      <c r="AS253" s="155">
        <f>SUMIFS($AD$9:$AO$9,$AD$8:$AO$8,1)+SUMIFS($AD$9:$AO$9,$AD$7:$AO$7,1)</f>
        <v>0</v>
      </c>
      <c r="AT253" s="155">
        <f>SUMIFS($AD$9:$AO$9,$AD$8:$AO$8,2)+SUMIFS($AD$9:$AO$9,$AD$7:$AO$7,2)</f>
        <v>0</v>
      </c>
      <c r="AU253" s="155">
        <f>SUMIFS($AD$9:$AO$9,$AD$8:$AO$8,3)+SUMIFS($AD$9:$AO$9,$AD$7:$AO$7,3)</f>
        <v>0</v>
      </c>
      <c r="AV253" s="155">
        <f>SUMIFS($AD$9:$AO$9,$AD$8:$AO$8,4)+SUMIFS($AD$9:$AO$9,$AD$7:$AO$7,4)</f>
        <v>40</v>
      </c>
      <c r="AW253" s="156">
        <f>SUMIFS($AD$9:$AO$9,$AD$8:$AO$8,5)+SUMIFS($AD$9:$AO$9,$AD$7:$AO$7,5)</f>
        <v>40</v>
      </c>
    </row>
  </sheetData>
  <mergeCells count="30">
    <mergeCell ref="AX5:BB5"/>
    <mergeCell ref="BE5:BG5"/>
    <mergeCell ref="BI5:BJ5"/>
    <mergeCell ref="AU6:BJ6"/>
    <mergeCell ref="Q4:X4"/>
    <mergeCell ref="B5:C5"/>
    <mergeCell ref="AR5:AS5"/>
    <mergeCell ref="AT5:AU5"/>
    <mergeCell ref="AV5:AW5"/>
    <mergeCell ref="AC4:AG4"/>
    <mergeCell ref="D5:AG5"/>
    <mergeCell ref="AR10:AT10"/>
    <mergeCell ref="AV10:AX10"/>
    <mergeCell ref="AZ10:BB10"/>
    <mergeCell ref="BD10:BF10"/>
    <mergeCell ref="BH10:BJ10"/>
    <mergeCell ref="AR249:AW249"/>
    <mergeCell ref="A8:B8"/>
    <mergeCell ref="D10:O10"/>
    <mergeCell ref="Q10:AB10"/>
    <mergeCell ref="AD10:AO10"/>
    <mergeCell ref="J4:P4"/>
    <mergeCell ref="Y4:AB4"/>
    <mergeCell ref="AR1:BK1"/>
    <mergeCell ref="AR2:BK2"/>
    <mergeCell ref="AR3:BK3"/>
    <mergeCell ref="D4:I4"/>
    <mergeCell ref="A1:AP1"/>
    <mergeCell ref="A2:AP2"/>
    <mergeCell ref="A3:AP3"/>
  </mergeCells>
  <printOptions/>
  <pageMargins bottom="0.75" footer="0.0" header="0.0" left="0.7" right="0.7" top="0.75"/>
  <pageSetup orientation="portrait"/>
  <colBreaks count="2" manualBreakCount="2">
    <brk id="42" man="1"/>
    <brk id="63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9.57"/>
    <col customWidth="1" min="3" max="3" width="33.86"/>
    <col customWidth="1" min="4" max="4" width="5.43"/>
    <col customWidth="1" min="5" max="5" width="4.71"/>
    <col customWidth="1" min="6" max="6" width="3.86"/>
    <col customWidth="1" min="7" max="7" width="5.14"/>
    <col customWidth="1" min="8" max="9" width="4.29"/>
    <col customWidth="1" min="10" max="12" width="3.71"/>
    <col customWidth="1" min="13" max="13" width="3.57"/>
    <col customWidth="1" min="14" max="14" width="5.86"/>
    <col customWidth="1" min="15" max="15" width="3.57"/>
    <col customWidth="1" min="16" max="17" width="4.43"/>
    <col customWidth="1" min="18" max="19" width="4.29"/>
    <col customWidth="1" min="20" max="20" width="4.14"/>
    <col customWidth="1" min="21" max="21" width="3.14"/>
    <col customWidth="1" min="22" max="22" width="4.0"/>
    <col customWidth="1" min="23" max="23" width="4.29"/>
    <col customWidth="1" min="24" max="24" width="6.0"/>
    <col customWidth="1" min="25" max="25" width="5.86"/>
    <col customWidth="1" min="26" max="26" width="3.57"/>
    <col customWidth="1" min="27" max="27" width="4.43"/>
    <col customWidth="1" min="28" max="28" width="3.86"/>
    <col customWidth="1" min="29" max="31" width="4.43"/>
    <col customWidth="1" min="32" max="32" width="4.71"/>
    <col customWidth="1" min="33" max="33" width="4.29"/>
    <col customWidth="1" min="34" max="34" width="4.86"/>
    <col customWidth="1" min="35" max="35" width="4.14"/>
    <col customWidth="1" min="36" max="36" width="5.86"/>
    <col customWidth="1" min="37" max="37" width="53.14"/>
    <col customWidth="1" min="38" max="38" width="12.57"/>
    <col customWidth="1" min="39" max="39" width="8.71"/>
    <col customWidth="1" min="40" max="40" width="19.57"/>
    <col customWidth="1" min="41" max="41" width="8.71"/>
    <col customWidth="1" min="42" max="42" width="9.14"/>
    <col customWidth="1" min="43" max="43" width="8.71"/>
    <col customWidth="1" min="44" max="44" width="17.43"/>
    <col customWidth="1" min="45" max="45" width="8.71"/>
    <col customWidth="1" min="46" max="46" width="8.29"/>
    <col customWidth="1" min="47" max="47" width="7.86"/>
    <col customWidth="1" min="48" max="48" width="16.57"/>
    <col customWidth="1" min="49" max="49" width="8.71"/>
    <col customWidth="1" min="50" max="50" width="15.29"/>
    <col customWidth="1" min="51" max="51" width="7.86"/>
    <col customWidth="1" min="52" max="52" width="16.71"/>
    <col customWidth="1" min="53" max="53" width="8.71"/>
    <col customWidth="1" min="54" max="54" width="10.14"/>
    <col customWidth="1" min="55" max="55" width="7.86"/>
    <col customWidth="1" min="56" max="56" width="16.86"/>
    <col customWidth="1" min="57" max="76" width="8.71"/>
  </cols>
  <sheetData>
    <row r="1" ht="44.25" customHeight="1">
      <c r="A1" s="80" t="s">
        <v>44</v>
      </c>
      <c r="AL1" s="80" t="s">
        <v>44</v>
      </c>
    </row>
    <row r="2" ht="33.0" customHeight="1">
      <c r="A2" s="81" t="str">
        <f>'set target form'!E2</f>
        <v>DEPARTMENT OF PHYSICS</v>
      </c>
      <c r="AL2" s="81" t="str">
        <f>'set target form'!E2</f>
        <v>DEPARTMENT OF PHYSICS</v>
      </c>
      <c r="BF2" s="82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</row>
    <row r="3" ht="22.5" customHeight="1">
      <c r="A3" s="84" t="s">
        <v>124</v>
      </c>
      <c r="AL3" s="84" t="s">
        <v>88</v>
      </c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</row>
    <row r="4" ht="22.5" customHeight="1">
      <c r="A4" s="84"/>
      <c r="B4" s="86" t="s">
        <v>47</v>
      </c>
      <c r="C4" s="86" t="str">
        <f>'set target form'!E4</f>
        <v>21PHY22</v>
      </c>
      <c r="D4" s="88" t="s">
        <v>49</v>
      </c>
      <c r="E4" s="35"/>
      <c r="F4" s="35"/>
      <c r="G4" s="2"/>
      <c r="H4" s="88" t="str">
        <f>'set target form'!G4</f>
        <v>ENGINEERING PHYSICS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2"/>
      <c r="W4" s="86" t="s">
        <v>53</v>
      </c>
      <c r="X4" s="45"/>
      <c r="Y4" s="45"/>
      <c r="Z4" s="157"/>
      <c r="AA4" s="93" t="str">
        <f>'set target form'!E7</f>
        <v>2021-22</v>
      </c>
      <c r="AB4" s="35"/>
      <c r="AC4" s="35"/>
      <c r="AD4" s="35"/>
      <c r="AE4" s="35"/>
      <c r="AF4" s="2"/>
      <c r="AG4" s="88" t="s">
        <v>55</v>
      </c>
      <c r="AH4" s="2"/>
      <c r="AI4" s="93" t="str">
        <f>'set target form'!G7</f>
        <v>II</v>
      </c>
      <c r="AJ4" s="2"/>
      <c r="AL4" s="88" t="s">
        <v>47</v>
      </c>
      <c r="AM4" s="2"/>
      <c r="AN4" s="88" t="str">
        <f>'set target form'!E4</f>
        <v>21PHY22</v>
      </c>
      <c r="AO4" s="2"/>
      <c r="AP4" s="88" t="s">
        <v>49</v>
      </c>
      <c r="AQ4" s="2"/>
      <c r="AR4" s="88" t="str">
        <f>'set target form'!G4</f>
        <v>ENGINEERING PHYSICS</v>
      </c>
      <c r="AS4" s="35"/>
      <c r="AT4" s="35"/>
      <c r="AU4" s="35"/>
      <c r="AV4" s="2"/>
      <c r="AW4" s="86" t="s">
        <v>53</v>
      </c>
      <c r="AY4" s="92" t="str">
        <f>'set target form'!E7</f>
        <v>2021-22</v>
      </c>
      <c r="AZ4" s="35"/>
      <c r="BA4" s="2"/>
      <c r="BB4" s="86" t="s">
        <v>55</v>
      </c>
      <c r="BC4" s="93" t="str">
        <f>'set target form'!G7</f>
        <v>II</v>
      </c>
      <c r="BD4" s="2"/>
      <c r="BE4" s="158"/>
      <c r="BF4" s="159"/>
      <c r="BG4" s="159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</row>
    <row r="5" ht="22.5" customHeight="1">
      <c r="A5" s="84"/>
      <c r="B5" s="93" t="s">
        <v>51</v>
      </c>
      <c r="C5" s="2"/>
      <c r="D5" s="93" t="str">
        <f>'set target form'!D6</f>
        <v>Nithin H M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2"/>
      <c r="AL5" s="94" t="s">
        <v>51</v>
      </c>
      <c r="AM5" s="45"/>
      <c r="AN5" s="86"/>
      <c r="AO5" s="93" t="str">
        <f>'set target form'!D6</f>
        <v>Nithin H M</v>
      </c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158"/>
      <c r="BF5" s="159"/>
      <c r="BG5" s="159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</row>
    <row r="6">
      <c r="A6" s="95"/>
      <c r="B6" s="95"/>
      <c r="C6" s="160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</row>
    <row r="7">
      <c r="A7" s="99"/>
      <c r="B7" s="2"/>
      <c r="C7" s="96" t="s">
        <v>11</v>
      </c>
      <c r="D7" s="161">
        <v>1.0</v>
      </c>
      <c r="E7" s="161">
        <v>1.0</v>
      </c>
      <c r="F7" s="161">
        <v>1.0</v>
      </c>
      <c r="G7" s="161">
        <v>1.0</v>
      </c>
      <c r="H7" s="161">
        <v>2.0</v>
      </c>
      <c r="I7" s="161">
        <v>2.0</v>
      </c>
      <c r="J7" s="161">
        <v>2.0</v>
      </c>
      <c r="K7" s="161">
        <v>2.0</v>
      </c>
      <c r="L7" s="161">
        <v>3.0</v>
      </c>
      <c r="M7" s="161">
        <v>3.0</v>
      </c>
      <c r="N7" s="52"/>
      <c r="O7" s="162">
        <v>3.0</v>
      </c>
      <c r="P7" s="162">
        <v>3.0</v>
      </c>
      <c r="Q7" s="162">
        <v>4.0</v>
      </c>
      <c r="R7" s="162">
        <v>4.0</v>
      </c>
      <c r="S7" s="162">
        <v>4.0</v>
      </c>
      <c r="T7" s="162">
        <v>4.0</v>
      </c>
      <c r="U7" s="162">
        <v>5.0</v>
      </c>
      <c r="V7" s="162">
        <v>5.0</v>
      </c>
      <c r="W7" s="162">
        <v>5.0</v>
      </c>
      <c r="X7" s="162">
        <v>5.0</v>
      </c>
      <c r="Y7" s="163"/>
      <c r="Z7" s="164">
        <v>1.0</v>
      </c>
      <c r="AA7" s="164">
        <v>2.0</v>
      </c>
      <c r="AB7" s="164">
        <v>3.0</v>
      </c>
      <c r="AC7" s="164">
        <v>4.0</v>
      </c>
      <c r="AD7" s="164">
        <v>5.0</v>
      </c>
      <c r="AE7" s="164">
        <v>1.0</v>
      </c>
      <c r="AF7" s="164">
        <v>2.0</v>
      </c>
      <c r="AG7" s="164">
        <v>3.0</v>
      </c>
      <c r="AH7" s="164">
        <v>4.0</v>
      </c>
      <c r="AI7" s="164">
        <v>5.0</v>
      </c>
      <c r="AJ7" s="52"/>
    </row>
    <row r="8">
      <c r="A8" s="52"/>
      <c r="B8" s="52"/>
      <c r="C8" s="96" t="s">
        <v>90</v>
      </c>
      <c r="D8" s="161">
        <v>1.0</v>
      </c>
      <c r="E8" s="161">
        <v>1.0</v>
      </c>
      <c r="F8" s="161">
        <v>1.0</v>
      </c>
      <c r="G8" s="161">
        <v>1.0</v>
      </c>
      <c r="H8" s="161">
        <v>1.0</v>
      </c>
      <c r="I8" s="161">
        <v>1.0</v>
      </c>
      <c r="J8" s="161">
        <v>1.0</v>
      </c>
      <c r="K8" s="161">
        <v>1.0</v>
      </c>
      <c r="L8" s="161">
        <v>1.0</v>
      </c>
      <c r="M8" s="161">
        <v>1.0</v>
      </c>
      <c r="N8" s="52">
        <f>SUM(D8:M8)</f>
        <v>10</v>
      </c>
      <c r="O8" s="162">
        <v>1.0</v>
      </c>
      <c r="P8" s="162">
        <v>1.0</v>
      </c>
      <c r="Q8" s="162">
        <v>1.0</v>
      </c>
      <c r="R8" s="162">
        <v>1.0</v>
      </c>
      <c r="S8" s="162">
        <v>1.0</v>
      </c>
      <c r="T8" s="162">
        <v>1.0</v>
      </c>
      <c r="U8" s="162">
        <v>1.0</v>
      </c>
      <c r="V8" s="162">
        <v>1.0</v>
      </c>
      <c r="W8" s="162">
        <v>1.0</v>
      </c>
      <c r="X8" s="162">
        <v>1.0</v>
      </c>
      <c r="Y8" s="52">
        <f>SUM(O8:X8)</f>
        <v>10</v>
      </c>
      <c r="Z8" s="164">
        <v>1.0</v>
      </c>
      <c r="AA8" s="164">
        <v>1.0</v>
      </c>
      <c r="AB8" s="164">
        <v>1.0</v>
      </c>
      <c r="AC8" s="164">
        <v>1.0</v>
      </c>
      <c r="AD8" s="164">
        <v>1.0</v>
      </c>
      <c r="AE8" s="164">
        <v>1.0</v>
      </c>
      <c r="AF8" s="164">
        <v>1.0</v>
      </c>
      <c r="AG8" s="164">
        <v>1.0</v>
      </c>
      <c r="AH8" s="164">
        <v>1.0</v>
      </c>
      <c r="AI8" s="164">
        <v>1.0</v>
      </c>
      <c r="AJ8" s="52">
        <f>SUM(Z8:AI8)</f>
        <v>10</v>
      </c>
    </row>
    <row r="9">
      <c r="A9" s="52"/>
      <c r="B9" s="52"/>
      <c r="C9" s="103"/>
      <c r="D9" s="165" t="s">
        <v>125</v>
      </c>
      <c r="E9" s="35"/>
      <c r="F9" s="35"/>
      <c r="G9" s="35"/>
      <c r="H9" s="35"/>
      <c r="I9" s="35"/>
      <c r="J9" s="35"/>
      <c r="K9" s="35"/>
      <c r="L9" s="35"/>
      <c r="M9" s="35"/>
      <c r="N9" s="2"/>
      <c r="O9" s="104" t="s">
        <v>126</v>
      </c>
      <c r="P9" s="35"/>
      <c r="Q9" s="35"/>
      <c r="R9" s="35"/>
      <c r="S9" s="35"/>
      <c r="T9" s="35"/>
      <c r="U9" s="35"/>
      <c r="V9" s="35"/>
      <c r="W9" s="35"/>
      <c r="X9" s="35"/>
      <c r="Y9" s="2"/>
      <c r="Z9" s="104" t="s">
        <v>127</v>
      </c>
      <c r="AA9" s="35"/>
      <c r="AB9" s="35"/>
      <c r="AC9" s="35"/>
      <c r="AD9" s="35"/>
      <c r="AE9" s="35"/>
      <c r="AF9" s="35"/>
      <c r="AG9" s="35"/>
      <c r="AH9" s="35"/>
      <c r="AI9" s="35"/>
      <c r="AJ9" s="2"/>
      <c r="AL9" s="99" t="str">
        <f>'set target form'!E9</f>
        <v>CO1</v>
      </c>
      <c r="AM9" s="35"/>
      <c r="AN9" s="2"/>
      <c r="AP9" s="99" t="str">
        <f>'set target form'!F9</f>
        <v>CO2</v>
      </c>
      <c r="AQ9" s="35"/>
      <c r="AR9" s="2"/>
      <c r="AT9" s="99" t="str">
        <f>'set target form'!G9</f>
        <v>CO3</v>
      </c>
      <c r="AU9" s="35"/>
      <c r="AV9" s="2"/>
      <c r="AX9" s="99" t="str">
        <f>'set target form'!H9</f>
        <v>CO4</v>
      </c>
      <c r="AY9" s="35"/>
      <c r="AZ9" s="2"/>
      <c r="BB9" s="99" t="str">
        <f>'set target form'!I9</f>
        <v>CO5</v>
      </c>
      <c r="BC9" s="35"/>
      <c r="BD9" s="2"/>
    </row>
    <row r="10">
      <c r="A10" s="166" t="s">
        <v>94</v>
      </c>
      <c r="B10" s="166" t="s">
        <v>95</v>
      </c>
      <c r="C10" s="96" t="s">
        <v>96</v>
      </c>
      <c r="D10" s="52">
        <v>1.0</v>
      </c>
      <c r="E10" s="52">
        <v>2.0</v>
      </c>
      <c r="F10" s="52">
        <v>3.0</v>
      </c>
      <c r="G10" s="52">
        <v>4.0</v>
      </c>
      <c r="H10" s="52">
        <v>5.0</v>
      </c>
      <c r="I10" s="52">
        <v>6.0</v>
      </c>
      <c r="J10" s="52">
        <v>7.0</v>
      </c>
      <c r="K10" s="52">
        <v>8.0</v>
      </c>
      <c r="L10" s="52">
        <v>9.0</v>
      </c>
      <c r="M10" s="52">
        <v>10.0</v>
      </c>
      <c r="N10" s="52"/>
      <c r="O10" s="52">
        <v>1.0</v>
      </c>
      <c r="P10" s="52">
        <v>2.0</v>
      </c>
      <c r="Q10" s="52">
        <v>3.0</v>
      </c>
      <c r="R10" s="52">
        <v>4.0</v>
      </c>
      <c r="S10" s="52">
        <v>5.0</v>
      </c>
      <c r="T10" s="52">
        <v>6.0</v>
      </c>
      <c r="U10" s="52">
        <v>7.0</v>
      </c>
      <c r="V10" s="52">
        <v>8.0</v>
      </c>
      <c r="W10" s="52">
        <v>9.0</v>
      </c>
      <c r="X10" s="52">
        <v>10.0</v>
      </c>
      <c r="Y10" s="52"/>
      <c r="Z10" s="52">
        <v>1.0</v>
      </c>
      <c r="AA10" s="52">
        <v>2.0</v>
      </c>
      <c r="AB10" s="52">
        <v>3.0</v>
      </c>
      <c r="AC10" s="52">
        <v>4.0</v>
      </c>
      <c r="AD10" s="52">
        <v>5.0</v>
      </c>
      <c r="AE10" s="52">
        <v>6.0</v>
      </c>
      <c r="AF10" s="52">
        <v>7.0</v>
      </c>
      <c r="AG10" s="52">
        <v>8.0</v>
      </c>
      <c r="AH10" s="52">
        <v>9.0</v>
      </c>
      <c r="AI10" s="52">
        <v>10.0</v>
      </c>
      <c r="AJ10" s="52"/>
      <c r="AL10" s="52" t="s">
        <v>113</v>
      </c>
      <c r="AM10" s="45" t="s">
        <v>114</v>
      </c>
      <c r="AN10" s="52" t="s">
        <v>115</v>
      </c>
      <c r="AP10" s="52" t="s">
        <v>113</v>
      </c>
      <c r="AQ10" s="45" t="s">
        <v>114</v>
      </c>
      <c r="AR10" s="52" t="s">
        <v>115</v>
      </c>
      <c r="AT10" s="52" t="s">
        <v>113</v>
      </c>
      <c r="AU10" s="45" t="s">
        <v>114</v>
      </c>
      <c r="AV10" s="52" t="s">
        <v>115</v>
      </c>
      <c r="AX10" s="52" t="s">
        <v>113</v>
      </c>
      <c r="AY10" s="45" t="s">
        <v>114</v>
      </c>
      <c r="AZ10" s="52" t="s">
        <v>115</v>
      </c>
      <c r="BB10" s="52" t="s">
        <v>113</v>
      </c>
      <c r="BC10" s="45" t="s">
        <v>114</v>
      </c>
      <c r="BD10" s="52" t="s">
        <v>115</v>
      </c>
    </row>
    <row r="11">
      <c r="A11" s="52">
        <v>1.0</v>
      </c>
      <c r="B11" s="167" t="str">
        <f>'IA Test only'!B12</f>
        <v/>
      </c>
      <c r="C11" s="168" t="str">
        <f>'IA Test only'!C12</f>
        <v/>
      </c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53">
        <f t="shared" ref="N11:N234" si="1">SUM(D11:M11)</f>
        <v>0</v>
      </c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52">
        <f t="shared" ref="Y11:Y234" si="2">SUM(O11:X11)</f>
        <v>0</v>
      </c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52">
        <f t="shared" ref="AJ11:AJ234" si="3">SUM(Z11:AI11)</f>
        <v>0</v>
      </c>
      <c r="AL11" s="45">
        <f t="shared" ref="AL11:AL234" si="4">SUMIF($D$7:$AI$7,1,$D11:$AI11)</f>
        <v>0</v>
      </c>
      <c r="AM11" s="45">
        <f t="shared" ref="AM11:AM234" si="5">SUMIFS($D$8:$AI$8,$D$7:$AI$7,1,$D11:$AI11,"&gt;="&amp;0)</f>
        <v>0</v>
      </c>
      <c r="AN11" s="45" t="str">
        <f t="shared" ref="AN11:AN234" si="6">AL11/AM11*100</f>
        <v>#DIV/0!</v>
      </c>
      <c r="AP11" s="45">
        <f t="shared" ref="AP11:AP234" si="7">SUMIF($D$7:$AI$7,2,$D11:$AI11)</f>
        <v>0</v>
      </c>
      <c r="AQ11" s="45">
        <f t="shared" ref="AQ11:AQ234" si="8">SUMIFS($D$8:$AI$8,$D$7:$AI$7,2,$D11:$AI11,"&gt;="&amp;0)</f>
        <v>0</v>
      </c>
      <c r="AR11" s="45" t="str">
        <f t="shared" ref="AR11:AR234" si="9">AP11/AQ11*100</f>
        <v>#DIV/0!</v>
      </c>
      <c r="AT11" s="45">
        <f t="shared" ref="AT11:AT234" si="10">SUMIF($D$7:$AI$7,3,$D11:$AI11)</f>
        <v>0</v>
      </c>
      <c r="AU11" s="45">
        <f t="shared" ref="AU11:AU234" si="11">SUMIFS($D$8:$AI$8,$D$7:$AI$7,3,$D11:$AI11,"&gt;="&amp;0)</f>
        <v>0</v>
      </c>
      <c r="AV11" s="45" t="str">
        <f t="shared" ref="AV11:AV234" si="12">AT11/AU11*100</f>
        <v>#DIV/0!</v>
      </c>
      <c r="AX11" s="45">
        <f t="shared" ref="AX11:AX234" si="13">SUMIF($D$7:$AI$7,4,$D11:$AI11)</f>
        <v>0</v>
      </c>
      <c r="AY11" s="45">
        <f t="shared" ref="AY11:AY234" si="14">SUMIFS($D$8:$AI$8,$D$7:$AI$7,4,$D11:$AI11,"&gt;="&amp;0)</f>
        <v>0</v>
      </c>
      <c r="AZ11" s="45" t="str">
        <f t="shared" ref="AZ11:AZ234" si="15">AX11/AY11*100</f>
        <v>#DIV/0!</v>
      </c>
      <c r="BB11" s="45">
        <f t="shared" ref="BB11:BB234" si="16">SUMIF($D$7:$AI$7,5,$D11:$AI11)</f>
        <v>0</v>
      </c>
      <c r="BC11" s="45">
        <f t="shared" ref="BC11:BC234" si="17">SUMIFS($D$8:$AI$8,$D$7:$AI$7,5,$D11:$AI11,"&gt;="&amp;0)</f>
        <v>0</v>
      </c>
      <c r="BD11" s="45" t="str">
        <f t="shared" ref="BD11:BD234" si="18">BB11/BC11*100</f>
        <v>#DIV/0!</v>
      </c>
    </row>
    <row r="12">
      <c r="A12" s="52">
        <v>2.0</v>
      </c>
      <c r="B12" s="167" t="str">
        <f>'IA Test only'!B13</f>
        <v/>
      </c>
      <c r="C12" s="168" t="str">
        <f>'IA Test only'!C13</f>
        <v/>
      </c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53">
        <f t="shared" si="1"/>
        <v>0</v>
      </c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52">
        <f t="shared" si="2"/>
        <v>0</v>
      </c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52">
        <f t="shared" si="3"/>
        <v>0</v>
      </c>
      <c r="AL12" s="45">
        <f t="shared" si="4"/>
        <v>0</v>
      </c>
      <c r="AM12" s="45">
        <f t="shared" si="5"/>
        <v>0</v>
      </c>
      <c r="AN12" s="45" t="str">
        <f t="shared" si="6"/>
        <v>#DIV/0!</v>
      </c>
      <c r="AP12" s="45">
        <f t="shared" si="7"/>
        <v>0</v>
      </c>
      <c r="AQ12" s="45">
        <f t="shared" si="8"/>
        <v>0</v>
      </c>
      <c r="AR12" s="45" t="str">
        <f t="shared" si="9"/>
        <v>#DIV/0!</v>
      </c>
      <c r="AT12" s="45">
        <f t="shared" si="10"/>
        <v>0</v>
      </c>
      <c r="AU12" s="45">
        <f t="shared" si="11"/>
        <v>0</v>
      </c>
      <c r="AV12" s="45" t="str">
        <f t="shared" si="12"/>
        <v>#DIV/0!</v>
      </c>
      <c r="AX12" s="45">
        <f t="shared" si="13"/>
        <v>0</v>
      </c>
      <c r="AY12" s="45">
        <f t="shared" si="14"/>
        <v>0</v>
      </c>
      <c r="AZ12" s="45" t="str">
        <f t="shared" si="15"/>
        <v>#DIV/0!</v>
      </c>
      <c r="BB12" s="45">
        <f t="shared" si="16"/>
        <v>0</v>
      </c>
      <c r="BC12" s="45">
        <f t="shared" si="17"/>
        <v>0</v>
      </c>
      <c r="BD12" s="45" t="str">
        <f t="shared" si="18"/>
        <v>#DIV/0!</v>
      </c>
    </row>
    <row r="13">
      <c r="A13" s="52">
        <v>3.0</v>
      </c>
      <c r="B13" s="167" t="str">
        <f>'IA Test only'!B14</f>
        <v/>
      </c>
      <c r="C13" s="168" t="str">
        <f>'IA Test only'!C14</f>
        <v/>
      </c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53">
        <f t="shared" si="1"/>
        <v>0</v>
      </c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52">
        <f t="shared" si="2"/>
        <v>0</v>
      </c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52">
        <f t="shared" si="3"/>
        <v>0</v>
      </c>
      <c r="AL13" s="45">
        <f t="shared" si="4"/>
        <v>0</v>
      </c>
      <c r="AM13" s="45">
        <f t="shared" si="5"/>
        <v>0</v>
      </c>
      <c r="AN13" s="45" t="str">
        <f t="shared" si="6"/>
        <v>#DIV/0!</v>
      </c>
      <c r="AP13" s="45">
        <f t="shared" si="7"/>
        <v>0</v>
      </c>
      <c r="AQ13" s="45">
        <f t="shared" si="8"/>
        <v>0</v>
      </c>
      <c r="AR13" s="45" t="str">
        <f t="shared" si="9"/>
        <v>#DIV/0!</v>
      </c>
      <c r="AT13" s="45">
        <f t="shared" si="10"/>
        <v>0</v>
      </c>
      <c r="AU13" s="45">
        <f t="shared" si="11"/>
        <v>0</v>
      </c>
      <c r="AV13" s="45" t="str">
        <f t="shared" si="12"/>
        <v>#DIV/0!</v>
      </c>
      <c r="AX13" s="45">
        <f t="shared" si="13"/>
        <v>0</v>
      </c>
      <c r="AY13" s="45">
        <f t="shared" si="14"/>
        <v>0</v>
      </c>
      <c r="AZ13" s="45" t="str">
        <f t="shared" si="15"/>
        <v>#DIV/0!</v>
      </c>
      <c r="BB13" s="45">
        <f t="shared" si="16"/>
        <v>0</v>
      </c>
      <c r="BC13" s="45">
        <f t="shared" si="17"/>
        <v>0</v>
      </c>
      <c r="BD13" s="45" t="str">
        <f t="shared" si="18"/>
        <v>#DIV/0!</v>
      </c>
    </row>
    <row r="14">
      <c r="A14" s="52">
        <v>4.0</v>
      </c>
      <c r="B14" s="167" t="str">
        <f>'IA Test only'!B15</f>
        <v/>
      </c>
      <c r="C14" s="168" t="str">
        <f>'IA Test only'!C15</f>
        <v/>
      </c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53">
        <f t="shared" si="1"/>
        <v>0</v>
      </c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52">
        <f t="shared" si="2"/>
        <v>0</v>
      </c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52">
        <f t="shared" si="3"/>
        <v>0</v>
      </c>
      <c r="AL14" s="45">
        <f t="shared" si="4"/>
        <v>0</v>
      </c>
      <c r="AM14" s="45">
        <f t="shared" si="5"/>
        <v>0</v>
      </c>
      <c r="AN14" s="45" t="str">
        <f t="shared" si="6"/>
        <v>#DIV/0!</v>
      </c>
      <c r="AP14" s="45">
        <f t="shared" si="7"/>
        <v>0</v>
      </c>
      <c r="AQ14" s="45">
        <f t="shared" si="8"/>
        <v>0</v>
      </c>
      <c r="AR14" s="45" t="str">
        <f t="shared" si="9"/>
        <v>#DIV/0!</v>
      </c>
      <c r="AT14" s="45">
        <f t="shared" si="10"/>
        <v>0</v>
      </c>
      <c r="AU14" s="45">
        <f t="shared" si="11"/>
        <v>0</v>
      </c>
      <c r="AV14" s="45" t="str">
        <f t="shared" si="12"/>
        <v>#DIV/0!</v>
      </c>
      <c r="AX14" s="45">
        <f t="shared" si="13"/>
        <v>0</v>
      </c>
      <c r="AY14" s="45">
        <f t="shared" si="14"/>
        <v>0</v>
      </c>
      <c r="AZ14" s="45" t="str">
        <f t="shared" si="15"/>
        <v>#DIV/0!</v>
      </c>
      <c r="BB14" s="45">
        <f t="shared" si="16"/>
        <v>0</v>
      </c>
      <c r="BC14" s="45">
        <f t="shared" si="17"/>
        <v>0</v>
      </c>
      <c r="BD14" s="45" t="str">
        <f t="shared" si="18"/>
        <v>#DIV/0!</v>
      </c>
    </row>
    <row r="15">
      <c r="A15" s="52">
        <v>5.0</v>
      </c>
      <c r="B15" s="167" t="str">
        <f>'IA Test only'!B16</f>
        <v/>
      </c>
      <c r="C15" s="168" t="str">
        <f>'IA Test only'!C16</f>
        <v/>
      </c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53">
        <f t="shared" si="1"/>
        <v>0</v>
      </c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52">
        <f t="shared" si="2"/>
        <v>0</v>
      </c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52">
        <f t="shared" si="3"/>
        <v>0</v>
      </c>
      <c r="AL15" s="45">
        <f t="shared" si="4"/>
        <v>0</v>
      </c>
      <c r="AM15" s="45">
        <f t="shared" si="5"/>
        <v>0</v>
      </c>
      <c r="AN15" s="45" t="str">
        <f t="shared" si="6"/>
        <v>#DIV/0!</v>
      </c>
      <c r="AP15" s="45">
        <f t="shared" si="7"/>
        <v>0</v>
      </c>
      <c r="AQ15" s="45">
        <f t="shared" si="8"/>
        <v>0</v>
      </c>
      <c r="AR15" s="45" t="str">
        <f t="shared" si="9"/>
        <v>#DIV/0!</v>
      </c>
      <c r="AT15" s="45">
        <f t="shared" si="10"/>
        <v>0</v>
      </c>
      <c r="AU15" s="45">
        <f t="shared" si="11"/>
        <v>0</v>
      </c>
      <c r="AV15" s="45" t="str">
        <f t="shared" si="12"/>
        <v>#DIV/0!</v>
      </c>
      <c r="AX15" s="45">
        <f t="shared" si="13"/>
        <v>0</v>
      </c>
      <c r="AY15" s="45">
        <f t="shared" si="14"/>
        <v>0</v>
      </c>
      <c r="AZ15" s="45" t="str">
        <f t="shared" si="15"/>
        <v>#DIV/0!</v>
      </c>
      <c r="BB15" s="45">
        <f t="shared" si="16"/>
        <v>0</v>
      </c>
      <c r="BC15" s="45">
        <f t="shared" si="17"/>
        <v>0</v>
      </c>
      <c r="BD15" s="45" t="str">
        <f t="shared" si="18"/>
        <v>#DIV/0!</v>
      </c>
    </row>
    <row r="16">
      <c r="A16" s="52">
        <v>6.0</v>
      </c>
      <c r="B16" s="167" t="str">
        <f>'IA Test only'!B17</f>
        <v/>
      </c>
      <c r="C16" s="168" t="str">
        <f>'IA Test only'!C17</f>
        <v/>
      </c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53">
        <f t="shared" si="1"/>
        <v>0</v>
      </c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52">
        <f t="shared" si="2"/>
        <v>0</v>
      </c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52">
        <f t="shared" si="3"/>
        <v>0</v>
      </c>
      <c r="AL16" s="45">
        <f t="shared" si="4"/>
        <v>0</v>
      </c>
      <c r="AM16" s="45">
        <f t="shared" si="5"/>
        <v>0</v>
      </c>
      <c r="AN16" s="45" t="str">
        <f t="shared" si="6"/>
        <v>#DIV/0!</v>
      </c>
      <c r="AP16" s="45">
        <f t="shared" si="7"/>
        <v>0</v>
      </c>
      <c r="AQ16" s="45">
        <f t="shared" si="8"/>
        <v>0</v>
      </c>
      <c r="AR16" s="45" t="str">
        <f t="shared" si="9"/>
        <v>#DIV/0!</v>
      </c>
      <c r="AT16" s="45">
        <f t="shared" si="10"/>
        <v>0</v>
      </c>
      <c r="AU16" s="45">
        <f t="shared" si="11"/>
        <v>0</v>
      </c>
      <c r="AV16" s="45" t="str">
        <f t="shared" si="12"/>
        <v>#DIV/0!</v>
      </c>
      <c r="AX16" s="45">
        <f t="shared" si="13"/>
        <v>0</v>
      </c>
      <c r="AY16" s="45">
        <f t="shared" si="14"/>
        <v>0</v>
      </c>
      <c r="AZ16" s="45" t="str">
        <f t="shared" si="15"/>
        <v>#DIV/0!</v>
      </c>
      <c r="BB16" s="45">
        <f t="shared" si="16"/>
        <v>0</v>
      </c>
      <c r="BC16" s="45">
        <f t="shared" si="17"/>
        <v>0</v>
      </c>
      <c r="BD16" s="45" t="str">
        <f t="shared" si="18"/>
        <v>#DIV/0!</v>
      </c>
    </row>
    <row r="17">
      <c r="A17" s="52">
        <v>7.0</v>
      </c>
      <c r="B17" s="167" t="str">
        <f>'IA Test only'!B18</f>
        <v/>
      </c>
      <c r="C17" s="168" t="str">
        <f>'IA Test only'!C18</f>
        <v/>
      </c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53">
        <f t="shared" si="1"/>
        <v>0</v>
      </c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52">
        <f t="shared" si="2"/>
        <v>0</v>
      </c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52">
        <f t="shared" si="3"/>
        <v>0</v>
      </c>
      <c r="AL17" s="45">
        <f t="shared" si="4"/>
        <v>0</v>
      </c>
      <c r="AM17" s="45">
        <f t="shared" si="5"/>
        <v>0</v>
      </c>
      <c r="AN17" s="45" t="str">
        <f t="shared" si="6"/>
        <v>#DIV/0!</v>
      </c>
      <c r="AP17" s="45">
        <f t="shared" si="7"/>
        <v>0</v>
      </c>
      <c r="AQ17" s="45">
        <f t="shared" si="8"/>
        <v>0</v>
      </c>
      <c r="AR17" s="45" t="str">
        <f t="shared" si="9"/>
        <v>#DIV/0!</v>
      </c>
      <c r="AT17" s="45">
        <f t="shared" si="10"/>
        <v>0</v>
      </c>
      <c r="AU17" s="45">
        <f t="shared" si="11"/>
        <v>0</v>
      </c>
      <c r="AV17" s="45" t="str">
        <f t="shared" si="12"/>
        <v>#DIV/0!</v>
      </c>
      <c r="AX17" s="45">
        <f t="shared" si="13"/>
        <v>0</v>
      </c>
      <c r="AY17" s="45">
        <f t="shared" si="14"/>
        <v>0</v>
      </c>
      <c r="AZ17" s="45" t="str">
        <f t="shared" si="15"/>
        <v>#DIV/0!</v>
      </c>
      <c r="BB17" s="45">
        <f t="shared" si="16"/>
        <v>0</v>
      </c>
      <c r="BC17" s="45">
        <f t="shared" si="17"/>
        <v>0</v>
      </c>
      <c r="BD17" s="45" t="str">
        <f t="shared" si="18"/>
        <v>#DIV/0!</v>
      </c>
    </row>
    <row r="18">
      <c r="A18" s="52">
        <v>8.0</v>
      </c>
      <c r="B18" s="167" t="str">
        <f>'IA Test only'!B19</f>
        <v/>
      </c>
      <c r="C18" s="168" t="str">
        <f>'IA Test only'!C19</f>
        <v/>
      </c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53">
        <f t="shared" si="1"/>
        <v>0</v>
      </c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52">
        <f t="shared" si="2"/>
        <v>0</v>
      </c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52">
        <f t="shared" si="3"/>
        <v>0</v>
      </c>
      <c r="AL18" s="45">
        <f t="shared" si="4"/>
        <v>0</v>
      </c>
      <c r="AM18" s="45">
        <f t="shared" si="5"/>
        <v>0</v>
      </c>
      <c r="AN18" s="45" t="str">
        <f t="shared" si="6"/>
        <v>#DIV/0!</v>
      </c>
      <c r="AP18" s="45">
        <f t="shared" si="7"/>
        <v>0</v>
      </c>
      <c r="AQ18" s="45">
        <f t="shared" si="8"/>
        <v>0</v>
      </c>
      <c r="AR18" s="45" t="str">
        <f t="shared" si="9"/>
        <v>#DIV/0!</v>
      </c>
      <c r="AT18" s="45">
        <f t="shared" si="10"/>
        <v>0</v>
      </c>
      <c r="AU18" s="45">
        <f t="shared" si="11"/>
        <v>0</v>
      </c>
      <c r="AV18" s="45" t="str">
        <f t="shared" si="12"/>
        <v>#DIV/0!</v>
      </c>
      <c r="AX18" s="45">
        <f t="shared" si="13"/>
        <v>0</v>
      </c>
      <c r="AY18" s="45">
        <f t="shared" si="14"/>
        <v>0</v>
      </c>
      <c r="AZ18" s="45" t="str">
        <f t="shared" si="15"/>
        <v>#DIV/0!</v>
      </c>
      <c r="BB18" s="45">
        <f t="shared" si="16"/>
        <v>0</v>
      </c>
      <c r="BC18" s="45">
        <f t="shared" si="17"/>
        <v>0</v>
      </c>
      <c r="BD18" s="45" t="str">
        <f t="shared" si="18"/>
        <v>#DIV/0!</v>
      </c>
    </row>
    <row r="19">
      <c r="A19" s="52">
        <v>9.0</v>
      </c>
      <c r="B19" s="167" t="str">
        <f>'IA Test only'!B20</f>
        <v/>
      </c>
      <c r="C19" s="168" t="str">
        <f>'IA Test only'!C20</f>
        <v/>
      </c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53">
        <f t="shared" si="1"/>
        <v>0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52">
        <f t="shared" si="2"/>
        <v>0</v>
      </c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52">
        <f t="shared" si="3"/>
        <v>0</v>
      </c>
      <c r="AL19" s="45">
        <f t="shared" si="4"/>
        <v>0</v>
      </c>
      <c r="AM19" s="45">
        <f t="shared" si="5"/>
        <v>0</v>
      </c>
      <c r="AN19" s="45" t="str">
        <f t="shared" si="6"/>
        <v>#DIV/0!</v>
      </c>
      <c r="AP19" s="45">
        <f t="shared" si="7"/>
        <v>0</v>
      </c>
      <c r="AQ19" s="45">
        <f t="shared" si="8"/>
        <v>0</v>
      </c>
      <c r="AR19" s="45" t="str">
        <f t="shared" si="9"/>
        <v>#DIV/0!</v>
      </c>
      <c r="AT19" s="45">
        <f t="shared" si="10"/>
        <v>0</v>
      </c>
      <c r="AU19" s="45">
        <f t="shared" si="11"/>
        <v>0</v>
      </c>
      <c r="AV19" s="45" t="str">
        <f t="shared" si="12"/>
        <v>#DIV/0!</v>
      </c>
      <c r="AX19" s="45">
        <f t="shared" si="13"/>
        <v>0</v>
      </c>
      <c r="AY19" s="45">
        <f t="shared" si="14"/>
        <v>0</v>
      </c>
      <c r="AZ19" s="45" t="str">
        <f t="shared" si="15"/>
        <v>#DIV/0!</v>
      </c>
      <c r="BB19" s="45">
        <f t="shared" si="16"/>
        <v>0</v>
      </c>
      <c r="BC19" s="45">
        <f t="shared" si="17"/>
        <v>0</v>
      </c>
      <c r="BD19" s="45" t="str">
        <f t="shared" si="18"/>
        <v>#DIV/0!</v>
      </c>
    </row>
    <row r="20">
      <c r="A20" s="52">
        <v>10.0</v>
      </c>
      <c r="B20" s="167" t="str">
        <f>'IA Test only'!B21</f>
        <v/>
      </c>
      <c r="C20" s="168" t="str">
        <f>'IA Test only'!C21</f>
        <v/>
      </c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53">
        <f t="shared" si="1"/>
        <v>0</v>
      </c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52">
        <f t="shared" si="2"/>
        <v>0</v>
      </c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52">
        <f t="shared" si="3"/>
        <v>0</v>
      </c>
      <c r="AL20" s="45">
        <f t="shared" si="4"/>
        <v>0</v>
      </c>
      <c r="AM20" s="45">
        <f t="shared" si="5"/>
        <v>0</v>
      </c>
      <c r="AN20" s="45" t="str">
        <f t="shared" si="6"/>
        <v>#DIV/0!</v>
      </c>
      <c r="AP20" s="45">
        <f t="shared" si="7"/>
        <v>0</v>
      </c>
      <c r="AQ20" s="45">
        <f t="shared" si="8"/>
        <v>0</v>
      </c>
      <c r="AR20" s="45" t="str">
        <f t="shared" si="9"/>
        <v>#DIV/0!</v>
      </c>
      <c r="AT20" s="45">
        <f t="shared" si="10"/>
        <v>0</v>
      </c>
      <c r="AU20" s="45">
        <f t="shared" si="11"/>
        <v>0</v>
      </c>
      <c r="AV20" s="45" t="str">
        <f t="shared" si="12"/>
        <v>#DIV/0!</v>
      </c>
      <c r="AX20" s="45">
        <f t="shared" si="13"/>
        <v>0</v>
      </c>
      <c r="AY20" s="45">
        <f t="shared" si="14"/>
        <v>0</v>
      </c>
      <c r="AZ20" s="45" t="str">
        <f t="shared" si="15"/>
        <v>#DIV/0!</v>
      </c>
      <c r="BB20" s="45">
        <f t="shared" si="16"/>
        <v>0</v>
      </c>
      <c r="BC20" s="45">
        <f t="shared" si="17"/>
        <v>0</v>
      </c>
      <c r="BD20" s="45" t="str">
        <f t="shared" si="18"/>
        <v>#DIV/0!</v>
      </c>
    </row>
    <row r="21" ht="15.75" customHeight="1">
      <c r="A21" s="52">
        <v>11.0</v>
      </c>
      <c r="B21" s="167" t="str">
        <f>'IA Test only'!B22</f>
        <v/>
      </c>
      <c r="C21" s="168" t="str">
        <f>'IA Test only'!C22</f>
        <v/>
      </c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53">
        <f t="shared" si="1"/>
        <v>0</v>
      </c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52">
        <f t="shared" si="2"/>
        <v>0</v>
      </c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52">
        <f t="shared" si="3"/>
        <v>0</v>
      </c>
      <c r="AL21" s="45">
        <f t="shared" si="4"/>
        <v>0</v>
      </c>
      <c r="AM21" s="45">
        <f t="shared" si="5"/>
        <v>0</v>
      </c>
      <c r="AN21" s="45" t="str">
        <f t="shared" si="6"/>
        <v>#DIV/0!</v>
      </c>
      <c r="AP21" s="45">
        <f t="shared" si="7"/>
        <v>0</v>
      </c>
      <c r="AQ21" s="45">
        <f t="shared" si="8"/>
        <v>0</v>
      </c>
      <c r="AR21" s="45" t="str">
        <f t="shared" si="9"/>
        <v>#DIV/0!</v>
      </c>
      <c r="AT21" s="45">
        <f t="shared" si="10"/>
        <v>0</v>
      </c>
      <c r="AU21" s="45">
        <f t="shared" si="11"/>
        <v>0</v>
      </c>
      <c r="AV21" s="45" t="str">
        <f t="shared" si="12"/>
        <v>#DIV/0!</v>
      </c>
      <c r="AX21" s="45">
        <f t="shared" si="13"/>
        <v>0</v>
      </c>
      <c r="AY21" s="45">
        <f t="shared" si="14"/>
        <v>0</v>
      </c>
      <c r="AZ21" s="45" t="str">
        <f t="shared" si="15"/>
        <v>#DIV/0!</v>
      </c>
      <c r="BB21" s="45">
        <f t="shared" si="16"/>
        <v>0</v>
      </c>
      <c r="BC21" s="45">
        <f t="shared" si="17"/>
        <v>0</v>
      </c>
      <c r="BD21" s="45" t="str">
        <f t="shared" si="18"/>
        <v>#DIV/0!</v>
      </c>
    </row>
    <row r="22" ht="15.75" customHeight="1">
      <c r="A22" s="52">
        <v>12.0</v>
      </c>
      <c r="B22" s="167" t="str">
        <f>'IA Test only'!B23</f>
        <v/>
      </c>
      <c r="C22" s="168" t="str">
        <f>'IA Test only'!C23</f>
        <v/>
      </c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53">
        <f t="shared" si="1"/>
        <v>0</v>
      </c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52">
        <f t="shared" si="2"/>
        <v>0</v>
      </c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52">
        <f t="shared" si="3"/>
        <v>0</v>
      </c>
      <c r="AL22" s="45">
        <f t="shared" si="4"/>
        <v>0</v>
      </c>
      <c r="AM22" s="45">
        <f t="shared" si="5"/>
        <v>0</v>
      </c>
      <c r="AN22" s="45" t="str">
        <f t="shared" si="6"/>
        <v>#DIV/0!</v>
      </c>
      <c r="AP22" s="45">
        <f t="shared" si="7"/>
        <v>0</v>
      </c>
      <c r="AQ22" s="45">
        <f t="shared" si="8"/>
        <v>0</v>
      </c>
      <c r="AR22" s="45" t="str">
        <f t="shared" si="9"/>
        <v>#DIV/0!</v>
      </c>
      <c r="AT22" s="45">
        <f t="shared" si="10"/>
        <v>0</v>
      </c>
      <c r="AU22" s="45">
        <f t="shared" si="11"/>
        <v>0</v>
      </c>
      <c r="AV22" s="45" t="str">
        <f t="shared" si="12"/>
        <v>#DIV/0!</v>
      </c>
      <c r="AX22" s="45">
        <f t="shared" si="13"/>
        <v>0</v>
      </c>
      <c r="AY22" s="45">
        <f t="shared" si="14"/>
        <v>0</v>
      </c>
      <c r="AZ22" s="45" t="str">
        <f t="shared" si="15"/>
        <v>#DIV/0!</v>
      </c>
      <c r="BB22" s="45">
        <f t="shared" si="16"/>
        <v>0</v>
      </c>
      <c r="BC22" s="45">
        <f t="shared" si="17"/>
        <v>0</v>
      </c>
      <c r="BD22" s="45" t="str">
        <f t="shared" si="18"/>
        <v>#DIV/0!</v>
      </c>
    </row>
    <row r="23" ht="15.75" customHeight="1">
      <c r="A23" s="52">
        <v>13.0</v>
      </c>
      <c r="B23" s="167" t="str">
        <f>'IA Test only'!B24</f>
        <v/>
      </c>
      <c r="C23" s="168" t="str">
        <f>'IA Test only'!C24</f>
        <v/>
      </c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53">
        <f t="shared" si="1"/>
        <v>0</v>
      </c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52">
        <f t="shared" si="2"/>
        <v>0</v>
      </c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52">
        <f t="shared" si="3"/>
        <v>0</v>
      </c>
      <c r="AL23" s="45">
        <f t="shared" si="4"/>
        <v>0</v>
      </c>
      <c r="AM23" s="45">
        <f t="shared" si="5"/>
        <v>0</v>
      </c>
      <c r="AN23" s="45" t="str">
        <f t="shared" si="6"/>
        <v>#DIV/0!</v>
      </c>
      <c r="AP23" s="45">
        <f t="shared" si="7"/>
        <v>0</v>
      </c>
      <c r="AQ23" s="45">
        <f t="shared" si="8"/>
        <v>0</v>
      </c>
      <c r="AR23" s="45" t="str">
        <f t="shared" si="9"/>
        <v>#DIV/0!</v>
      </c>
      <c r="AT23" s="45">
        <f t="shared" si="10"/>
        <v>0</v>
      </c>
      <c r="AU23" s="45">
        <f t="shared" si="11"/>
        <v>0</v>
      </c>
      <c r="AV23" s="45" t="str">
        <f t="shared" si="12"/>
        <v>#DIV/0!</v>
      </c>
      <c r="AX23" s="45">
        <f t="shared" si="13"/>
        <v>0</v>
      </c>
      <c r="AY23" s="45">
        <f t="shared" si="14"/>
        <v>0</v>
      </c>
      <c r="AZ23" s="45" t="str">
        <f t="shared" si="15"/>
        <v>#DIV/0!</v>
      </c>
      <c r="BB23" s="45">
        <f t="shared" si="16"/>
        <v>0</v>
      </c>
      <c r="BC23" s="45">
        <f t="shared" si="17"/>
        <v>0</v>
      </c>
      <c r="BD23" s="45" t="str">
        <f t="shared" si="18"/>
        <v>#DIV/0!</v>
      </c>
    </row>
    <row r="24" ht="15.75" customHeight="1">
      <c r="A24" s="52">
        <v>14.0</v>
      </c>
      <c r="B24" s="167" t="str">
        <f>'IA Test only'!B25</f>
        <v/>
      </c>
      <c r="C24" s="168" t="str">
        <f>'IA Test only'!C25</f>
        <v/>
      </c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53">
        <f t="shared" si="1"/>
        <v>0</v>
      </c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52">
        <f t="shared" si="2"/>
        <v>0</v>
      </c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52">
        <f t="shared" si="3"/>
        <v>0</v>
      </c>
      <c r="AL24" s="45">
        <f t="shared" si="4"/>
        <v>0</v>
      </c>
      <c r="AM24" s="45">
        <f t="shared" si="5"/>
        <v>0</v>
      </c>
      <c r="AN24" s="45" t="str">
        <f t="shared" si="6"/>
        <v>#DIV/0!</v>
      </c>
      <c r="AP24" s="45">
        <f t="shared" si="7"/>
        <v>0</v>
      </c>
      <c r="AQ24" s="45">
        <f t="shared" si="8"/>
        <v>0</v>
      </c>
      <c r="AR24" s="45" t="str">
        <f t="shared" si="9"/>
        <v>#DIV/0!</v>
      </c>
      <c r="AT24" s="45">
        <f t="shared" si="10"/>
        <v>0</v>
      </c>
      <c r="AU24" s="45">
        <f t="shared" si="11"/>
        <v>0</v>
      </c>
      <c r="AV24" s="45" t="str">
        <f t="shared" si="12"/>
        <v>#DIV/0!</v>
      </c>
      <c r="AX24" s="45">
        <f t="shared" si="13"/>
        <v>0</v>
      </c>
      <c r="AY24" s="45">
        <f t="shared" si="14"/>
        <v>0</v>
      </c>
      <c r="AZ24" s="45" t="str">
        <f t="shared" si="15"/>
        <v>#DIV/0!</v>
      </c>
      <c r="BB24" s="45">
        <f t="shared" si="16"/>
        <v>0</v>
      </c>
      <c r="BC24" s="45">
        <f t="shared" si="17"/>
        <v>0</v>
      </c>
      <c r="BD24" s="45" t="str">
        <f t="shared" si="18"/>
        <v>#DIV/0!</v>
      </c>
    </row>
    <row r="25" ht="15.75" customHeight="1">
      <c r="A25" s="52">
        <v>15.0</v>
      </c>
      <c r="B25" s="167" t="str">
        <f>'IA Test only'!B26</f>
        <v/>
      </c>
      <c r="C25" s="168" t="str">
        <f>'IA Test only'!C26</f>
        <v/>
      </c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53">
        <f t="shared" si="1"/>
        <v>0</v>
      </c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52">
        <f t="shared" si="2"/>
        <v>0</v>
      </c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52">
        <f t="shared" si="3"/>
        <v>0</v>
      </c>
      <c r="AL25" s="45">
        <f t="shared" si="4"/>
        <v>0</v>
      </c>
      <c r="AM25" s="45">
        <f t="shared" si="5"/>
        <v>0</v>
      </c>
      <c r="AN25" s="45" t="str">
        <f t="shared" si="6"/>
        <v>#DIV/0!</v>
      </c>
      <c r="AP25" s="45">
        <f t="shared" si="7"/>
        <v>0</v>
      </c>
      <c r="AQ25" s="45">
        <f t="shared" si="8"/>
        <v>0</v>
      </c>
      <c r="AR25" s="45" t="str">
        <f t="shared" si="9"/>
        <v>#DIV/0!</v>
      </c>
      <c r="AT25" s="45">
        <f t="shared" si="10"/>
        <v>0</v>
      </c>
      <c r="AU25" s="45">
        <f t="shared" si="11"/>
        <v>0</v>
      </c>
      <c r="AV25" s="45" t="str">
        <f t="shared" si="12"/>
        <v>#DIV/0!</v>
      </c>
      <c r="AX25" s="45">
        <f t="shared" si="13"/>
        <v>0</v>
      </c>
      <c r="AY25" s="45">
        <f t="shared" si="14"/>
        <v>0</v>
      </c>
      <c r="AZ25" s="45" t="str">
        <f t="shared" si="15"/>
        <v>#DIV/0!</v>
      </c>
      <c r="BB25" s="45">
        <f t="shared" si="16"/>
        <v>0</v>
      </c>
      <c r="BC25" s="45">
        <f t="shared" si="17"/>
        <v>0</v>
      </c>
      <c r="BD25" s="45" t="str">
        <f t="shared" si="18"/>
        <v>#DIV/0!</v>
      </c>
    </row>
    <row r="26" ht="15.75" customHeight="1">
      <c r="A26" s="52">
        <v>16.0</v>
      </c>
      <c r="B26" s="167" t="str">
        <f>'IA Test only'!B27</f>
        <v/>
      </c>
      <c r="C26" s="168" t="str">
        <f>'IA Test only'!C27</f>
        <v/>
      </c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53">
        <f t="shared" si="1"/>
        <v>0</v>
      </c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52">
        <f t="shared" si="2"/>
        <v>0</v>
      </c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52">
        <f t="shared" si="3"/>
        <v>0</v>
      </c>
      <c r="AL26" s="45">
        <f t="shared" si="4"/>
        <v>0</v>
      </c>
      <c r="AM26" s="45">
        <f t="shared" si="5"/>
        <v>0</v>
      </c>
      <c r="AN26" s="45" t="str">
        <f t="shared" si="6"/>
        <v>#DIV/0!</v>
      </c>
      <c r="AP26" s="45">
        <f t="shared" si="7"/>
        <v>0</v>
      </c>
      <c r="AQ26" s="45">
        <f t="shared" si="8"/>
        <v>0</v>
      </c>
      <c r="AR26" s="45" t="str">
        <f t="shared" si="9"/>
        <v>#DIV/0!</v>
      </c>
      <c r="AT26" s="45">
        <f t="shared" si="10"/>
        <v>0</v>
      </c>
      <c r="AU26" s="45">
        <f t="shared" si="11"/>
        <v>0</v>
      </c>
      <c r="AV26" s="45" t="str">
        <f t="shared" si="12"/>
        <v>#DIV/0!</v>
      </c>
      <c r="AX26" s="45">
        <f t="shared" si="13"/>
        <v>0</v>
      </c>
      <c r="AY26" s="45">
        <f t="shared" si="14"/>
        <v>0</v>
      </c>
      <c r="AZ26" s="45" t="str">
        <f t="shared" si="15"/>
        <v>#DIV/0!</v>
      </c>
      <c r="BB26" s="45">
        <f t="shared" si="16"/>
        <v>0</v>
      </c>
      <c r="BC26" s="45">
        <f t="shared" si="17"/>
        <v>0</v>
      </c>
      <c r="BD26" s="45" t="str">
        <f t="shared" si="18"/>
        <v>#DIV/0!</v>
      </c>
    </row>
    <row r="27" ht="15.75" customHeight="1">
      <c r="A27" s="52">
        <v>17.0</v>
      </c>
      <c r="B27" s="167" t="str">
        <f>'IA Test only'!B28</f>
        <v/>
      </c>
      <c r="C27" s="168" t="str">
        <f>'IA Test only'!C28</f>
        <v/>
      </c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53">
        <f t="shared" si="1"/>
        <v>0</v>
      </c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52">
        <f t="shared" si="2"/>
        <v>0</v>
      </c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52">
        <f t="shared" si="3"/>
        <v>0</v>
      </c>
      <c r="AL27" s="45">
        <f t="shared" si="4"/>
        <v>0</v>
      </c>
      <c r="AM27" s="45">
        <f t="shared" si="5"/>
        <v>0</v>
      </c>
      <c r="AN27" s="45" t="str">
        <f t="shared" si="6"/>
        <v>#DIV/0!</v>
      </c>
      <c r="AP27" s="45">
        <f t="shared" si="7"/>
        <v>0</v>
      </c>
      <c r="AQ27" s="45">
        <f t="shared" si="8"/>
        <v>0</v>
      </c>
      <c r="AR27" s="45" t="str">
        <f t="shared" si="9"/>
        <v>#DIV/0!</v>
      </c>
      <c r="AT27" s="45">
        <f t="shared" si="10"/>
        <v>0</v>
      </c>
      <c r="AU27" s="45">
        <f t="shared" si="11"/>
        <v>0</v>
      </c>
      <c r="AV27" s="45" t="str">
        <f t="shared" si="12"/>
        <v>#DIV/0!</v>
      </c>
      <c r="AX27" s="45">
        <f t="shared" si="13"/>
        <v>0</v>
      </c>
      <c r="AY27" s="45">
        <f t="shared" si="14"/>
        <v>0</v>
      </c>
      <c r="AZ27" s="45" t="str">
        <f t="shared" si="15"/>
        <v>#DIV/0!</v>
      </c>
      <c r="BB27" s="45">
        <f t="shared" si="16"/>
        <v>0</v>
      </c>
      <c r="BC27" s="45">
        <f t="shared" si="17"/>
        <v>0</v>
      </c>
      <c r="BD27" s="45" t="str">
        <f t="shared" si="18"/>
        <v>#DIV/0!</v>
      </c>
    </row>
    <row r="28" ht="15.75" customHeight="1">
      <c r="A28" s="52">
        <v>18.0</v>
      </c>
      <c r="B28" s="167" t="str">
        <f>'IA Test only'!B29</f>
        <v/>
      </c>
      <c r="C28" s="168" t="str">
        <f>'IA Test only'!C29</f>
        <v/>
      </c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53">
        <f t="shared" si="1"/>
        <v>0</v>
      </c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52">
        <f t="shared" si="2"/>
        <v>0</v>
      </c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52">
        <f t="shared" si="3"/>
        <v>0</v>
      </c>
      <c r="AL28" s="45">
        <f t="shared" si="4"/>
        <v>0</v>
      </c>
      <c r="AM28" s="45">
        <f t="shared" si="5"/>
        <v>0</v>
      </c>
      <c r="AN28" s="45" t="str">
        <f t="shared" si="6"/>
        <v>#DIV/0!</v>
      </c>
      <c r="AP28" s="45">
        <f t="shared" si="7"/>
        <v>0</v>
      </c>
      <c r="AQ28" s="45">
        <f t="shared" si="8"/>
        <v>0</v>
      </c>
      <c r="AR28" s="45" t="str">
        <f t="shared" si="9"/>
        <v>#DIV/0!</v>
      </c>
      <c r="AT28" s="45">
        <f t="shared" si="10"/>
        <v>0</v>
      </c>
      <c r="AU28" s="45">
        <f t="shared" si="11"/>
        <v>0</v>
      </c>
      <c r="AV28" s="45" t="str">
        <f t="shared" si="12"/>
        <v>#DIV/0!</v>
      </c>
      <c r="AX28" s="45">
        <f t="shared" si="13"/>
        <v>0</v>
      </c>
      <c r="AY28" s="45">
        <f t="shared" si="14"/>
        <v>0</v>
      </c>
      <c r="AZ28" s="45" t="str">
        <f t="shared" si="15"/>
        <v>#DIV/0!</v>
      </c>
      <c r="BB28" s="45">
        <f t="shared" si="16"/>
        <v>0</v>
      </c>
      <c r="BC28" s="45">
        <f t="shared" si="17"/>
        <v>0</v>
      </c>
      <c r="BD28" s="45" t="str">
        <f t="shared" si="18"/>
        <v>#DIV/0!</v>
      </c>
    </row>
    <row r="29" ht="15.75" customHeight="1">
      <c r="A29" s="52">
        <v>19.0</v>
      </c>
      <c r="B29" s="167" t="str">
        <f>'IA Test only'!B30</f>
        <v/>
      </c>
      <c r="C29" s="168" t="str">
        <f>'IA Test only'!C30</f>
        <v/>
      </c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53">
        <f t="shared" si="1"/>
        <v>0</v>
      </c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52">
        <f t="shared" si="2"/>
        <v>0</v>
      </c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52">
        <f t="shared" si="3"/>
        <v>0</v>
      </c>
      <c r="AL29" s="45">
        <f t="shared" si="4"/>
        <v>0</v>
      </c>
      <c r="AM29" s="45">
        <f t="shared" si="5"/>
        <v>0</v>
      </c>
      <c r="AN29" s="45" t="str">
        <f t="shared" si="6"/>
        <v>#DIV/0!</v>
      </c>
      <c r="AP29" s="45">
        <f t="shared" si="7"/>
        <v>0</v>
      </c>
      <c r="AQ29" s="45">
        <f t="shared" si="8"/>
        <v>0</v>
      </c>
      <c r="AR29" s="45" t="str">
        <f t="shared" si="9"/>
        <v>#DIV/0!</v>
      </c>
      <c r="AT29" s="45">
        <f t="shared" si="10"/>
        <v>0</v>
      </c>
      <c r="AU29" s="45">
        <f t="shared" si="11"/>
        <v>0</v>
      </c>
      <c r="AV29" s="45" t="str">
        <f t="shared" si="12"/>
        <v>#DIV/0!</v>
      </c>
      <c r="AX29" s="45">
        <f t="shared" si="13"/>
        <v>0</v>
      </c>
      <c r="AY29" s="45">
        <f t="shared" si="14"/>
        <v>0</v>
      </c>
      <c r="AZ29" s="45" t="str">
        <f t="shared" si="15"/>
        <v>#DIV/0!</v>
      </c>
      <c r="BB29" s="45">
        <f t="shared" si="16"/>
        <v>0</v>
      </c>
      <c r="BC29" s="45">
        <f t="shared" si="17"/>
        <v>0</v>
      </c>
      <c r="BD29" s="45" t="str">
        <f t="shared" si="18"/>
        <v>#DIV/0!</v>
      </c>
    </row>
    <row r="30" ht="15.75" customHeight="1">
      <c r="A30" s="52">
        <v>20.0</v>
      </c>
      <c r="B30" s="167" t="str">
        <f>'IA Test only'!B31</f>
        <v/>
      </c>
      <c r="C30" s="168" t="str">
        <f>'IA Test only'!C31</f>
        <v/>
      </c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53">
        <f t="shared" si="1"/>
        <v>0</v>
      </c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52">
        <f t="shared" si="2"/>
        <v>0</v>
      </c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52">
        <f t="shared" si="3"/>
        <v>0</v>
      </c>
      <c r="AL30" s="45">
        <f t="shared" si="4"/>
        <v>0</v>
      </c>
      <c r="AM30" s="45">
        <f t="shared" si="5"/>
        <v>0</v>
      </c>
      <c r="AN30" s="45" t="str">
        <f t="shared" si="6"/>
        <v>#DIV/0!</v>
      </c>
      <c r="AP30" s="45">
        <f t="shared" si="7"/>
        <v>0</v>
      </c>
      <c r="AQ30" s="45">
        <f t="shared" si="8"/>
        <v>0</v>
      </c>
      <c r="AR30" s="45" t="str">
        <f t="shared" si="9"/>
        <v>#DIV/0!</v>
      </c>
      <c r="AT30" s="45">
        <f t="shared" si="10"/>
        <v>0</v>
      </c>
      <c r="AU30" s="45">
        <f t="shared" si="11"/>
        <v>0</v>
      </c>
      <c r="AV30" s="45" t="str">
        <f t="shared" si="12"/>
        <v>#DIV/0!</v>
      </c>
      <c r="AX30" s="45">
        <f t="shared" si="13"/>
        <v>0</v>
      </c>
      <c r="AY30" s="45">
        <f t="shared" si="14"/>
        <v>0</v>
      </c>
      <c r="AZ30" s="45" t="str">
        <f t="shared" si="15"/>
        <v>#DIV/0!</v>
      </c>
      <c r="BB30" s="45">
        <f t="shared" si="16"/>
        <v>0</v>
      </c>
      <c r="BC30" s="45">
        <f t="shared" si="17"/>
        <v>0</v>
      </c>
      <c r="BD30" s="45" t="str">
        <f t="shared" si="18"/>
        <v>#DIV/0!</v>
      </c>
    </row>
    <row r="31" ht="15.75" customHeight="1">
      <c r="A31" s="52">
        <v>21.0</v>
      </c>
      <c r="B31" s="167" t="str">
        <f>'IA Test only'!B32</f>
        <v/>
      </c>
      <c r="C31" s="168" t="str">
        <f>'IA Test only'!C32</f>
        <v/>
      </c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53">
        <f t="shared" si="1"/>
        <v>0</v>
      </c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52">
        <f t="shared" si="2"/>
        <v>0</v>
      </c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52">
        <f t="shared" si="3"/>
        <v>0</v>
      </c>
      <c r="AL31" s="45">
        <f t="shared" si="4"/>
        <v>0</v>
      </c>
      <c r="AM31" s="45">
        <f t="shared" si="5"/>
        <v>0</v>
      </c>
      <c r="AN31" s="45" t="str">
        <f t="shared" si="6"/>
        <v>#DIV/0!</v>
      </c>
      <c r="AP31" s="45">
        <f t="shared" si="7"/>
        <v>0</v>
      </c>
      <c r="AQ31" s="45">
        <f t="shared" si="8"/>
        <v>0</v>
      </c>
      <c r="AR31" s="45" t="str">
        <f t="shared" si="9"/>
        <v>#DIV/0!</v>
      </c>
      <c r="AT31" s="45">
        <f t="shared" si="10"/>
        <v>0</v>
      </c>
      <c r="AU31" s="45">
        <f t="shared" si="11"/>
        <v>0</v>
      </c>
      <c r="AV31" s="45" t="str">
        <f t="shared" si="12"/>
        <v>#DIV/0!</v>
      </c>
      <c r="AX31" s="45">
        <f t="shared" si="13"/>
        <v>0</v>
      </c>
      <c r="AY31" s="45">
        <f t="shared" si="14"/>
        <v>0</v>
      </c>
      <c r="AZ31" s="45" t="str">
        <f t="shared" si="15"/>
        <v>#DIV/0!</v>
      </c>
      <c r="BB31" s="45">
        <f t="shared" si="16"/>
        <v>0</v>
      </c>
      <c r="BC31" s="45">
        <f t="shared" si="17"/>
        <v>0</v>
      </c>
      <c r="BD31" s="45" t="str">
        <f t="shared" si="18"/>
        <v>#DIV/0!</v>
      </c>
    </row>
    <row r="32" ht="15.75" customHeight="1">
      <c r="A32" s="52">
        <v>22.0</v>
      </c>
      <c r="B32" s="167" t="str">
        <f>'IA Test only'!B33</f>
        <v/>
      </c>
      <c r="C32" s="168" t="str">
        <f>'IA Test only'!C33</f>
        <v/>
      </c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53">
        <f t="shared" si="1"/>
        <v>0</v>
      </c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52">
        <f t="shared" si="2"/>
        <v>0</v>
      </c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52">
        <f t="shared" si="3"/>
        <v>0</v>
      </c>
      <c r="AL32" s="45">
        <f t="shared" si="4"/>
        <v>0</v>
      </c>
      <c r="AM32" s="45">
        <f t="shared" si="5"/>
        <v>0</v>
      </c>
      <c r="AN32" s="45" t="str">
        <f t="shared" si="6"/>
        <v>#DIV/0!</v>
      </c>
      <c r="AP32" s="45">
        <f t="shared" si="7"/>
        <v>0</v>
      </c>
      <c r="AQ32" s="45">
        <f t="shared" si="8"/>
        <v>0</v>
      </c>
      <c r="AR32" s="45" t="str">
        <f t="shared" si="9"/>
        <v>#DIV/0!</v>
      </c>
      <c r="AT32" s="45">
        <f t="shared" si="10"/>
        <v>0</v>
      </c>
      <c r="AU32" s="45">
        <f t="shared" si="11"/>
        <v>0</v>
      </c>
      <c r="AV32" s="45" t="str">
        <f t="shared" si="12"/>
        <v>#DIV/0!</v>
      </c>
      <c r="AX32" s="45">
        <f t="shared" si="13"/>
        <v>0</v>
      </c>
      <c r="AY32" s="45">
        <f t="shared" si="14"/>
        <v>0</v>
      </c>
      <c r="AZ32" s="45" t="str">
        <f t="shared" si="15"/>
        <v>#DIV/0!</v>
      </c>
      <c r="BB32" s="45">
        <f t="shared" si="16"/>
        <v>0</v>
      </c>
      <c r="BC32" s="45">
        <f t="shared" si="17"/>
        <v>0</v>
      </c>
      <c r="BD32" s="45" t="str">
        <f t="shared" si="18"/>
        <v>#DIV/0!</v>
      </c>
    </row>
    <row r="33" ht="15.75" customHeight="1">
      <c r="A33" s="52">
        <v>23.0</v>
      </c>
      <c r="B33" s="167" t="str">
        <f>'IA Test only'!B34</f>
        <v/>
      </c>
      <c r="C33" s="168" t="str">
        <f>'IA Test only'!C34</f>
        <v/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53">
        <f t="shared" si="1"/>
        <v>0</v>
      </c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52">
        <f t="shared" si="2"/>
        <v>0</v>
      </c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52">
        <f t="shared" si="3"/>
        <v>0</v>
      </c>
      <c r="AL33" s="45">
        <f t="shared" si="4"/>
        <v>0</v>
      </c>
      <c r="AM33" s="45">
        <f t="shared" si="5"/>
        <v>0</v>
      </c>
      <c r="AN33" s="45" t="str">
        <f t="shared" si="6"/>
        <v>#DIV/0!</v>
      </c>
      <c r="AP33" s="45">
        <f t="shared" si="7"/>
        <v>0</v>
      </c>
      <c r="AQ33" s="45">
        <f t="shared" si="8"/>
        <v>0</v>
      </c>
      <c r="AR33" s="45" t="str">
        <f t="shared" si="9"/>
        <v>#DIV/0!</v>
      </c>
      <c r="AT33" s="45">
        <f t="shared" si="10"/>
        <v>0</v>
      </c>
      <c r="AU33" s="45">
        <f t="shared" si="11"/>
        <v>0</v>
      </c>
      <c r="AV33" s="45" t="str">
        <f t="shared" si="12"/>
        <v>#DIV/0!</v>
      </c>
      <c r="AX33" s="45">
        <f t="shared" si="13"/>
        <v>0</v>
      </c>
      <c r="AY33" s="45">
        <f t="shared" si="14"/>
        <v>0</v>
      </c>
      <c r="AZ33" s="45" t="str">
        <f t="shared" si="15"/>
        <v>#DIV/0!</v>
      </c>
      <c r="BB33" s="45">
        <f t="shared" si="16"/>
        <v>0</v>
      </c>
      <c r="BC33" s="45">
        <f t="shared" si="17"/>
        <v>0</v>
      </c>
      <c r="BD33" s="45" t="str">
        <f t="shared" si="18"/>
        <v>#DIV/0!</v>
      </c>
    </row>
    <row r="34" ht="15.75" customHeight="1">
      <c r="A34" s="52">
        <v>24.0</v>
      </c>
      <c r="B34" s="167" t="str">
        <f>'IA Test only'!B35</f>
        <v/>
      </c>
      <c r="C34" s="168" t="str">
        <f>'IA Test only'!C35</f>
        <v/>
      </c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53">
        <f t="shared" si="1"/>
        <v>0</v>
      </c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52">
        <f t="shared" si="2"/>
        <v>0</v>
      </c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52">
        <f t="shared" si="3"/>
        <v>0</v>
      </c>
      <c r="AL34" s="45">
        <f t="shared" si="4"/>
        <v>0</v>
      </c>
      <c r="AM34" s="45">
        <f t="shared" si="5"/>
        <v>0</v>
      </c>
      <c r="AN34" s="45" t="str">
        <f t="shared" si="6"/>
        <v>#DIV/0!</v>
      </c>
      <c r="AP34" s="45">
        <f t="shared" si="7"/>
        <v>0</v>
      </c>
      <c r="AQ34" s="45">
        <f t="shared" si="8"/>
        <v>0</v>
      </c>
      <c r="AR34" s="45" t="str">
        <f t="shared" si="9"/>
        <v>#DIV/0!</v>
      </c>
      <c r="AT34" s="45">
        <f t="shared" si="10"/>
        <v>0</v>
      </c>
      <c r="AU34" s="45">
        <f t="shared" si="11"/>
        <v>0</v>
      </c>
      <c r="AV34" s="45" t="str">
        <f t="shared" si="12"/>
        <v>#DIV/0!</v>
      </c>
      <c r="AX34" s="45">
        <f t="shared" si="13"/>
        <v>0</v>
      </c>
      <c r="AY34" s="45">
        <f t="shared" si="14"/>
        <v>0</v>
      </c>
      <c r="AZ34" s="45" t="str">
        <f t="shared" si="15"/>
        <v>#DIV/0!</v>
      </c>
      <c r="BB34" s="45">
        <f t="shared" si="16"/>
        <v>0</v>
      </c>
      <c r="BC34" s="45">
        <f t="shared" si="17"/>
        <v>0</v>
      </c>
      <c r="BD34" s="45" t="str">
        <f t="shared" si="18"/>
        <v>#DIV/0!</v>
      </c>
    </row>
    <row r="35" ht="15.75" customHeight="1">
      <c r="A35" s="52">
        <v>25.0</v>
      </c>
      <c r="B35" s="167" t="str">
        <f>'IA Test only'!B36</f>
        <v/>
      </c>
      <c r="C35" s="168" t="str">
        <f>'IA Test only'!C36</f>
        <v/>
      </c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53">
        <f t="shared" si="1"/>
        <v>0</v>
      </c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52">
        <f t="shared" si="2"/>
        <v>0</v>
      </c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52">
        <f t="shared" si="3"/>
        <v>0</v>
      </c>
      <c r="AL35" s="45">
        <f t="shared" si="4"/>
        <v>0</v>
      </c>
      <c r="AM35" s="45">
        <f t="shared" si="5"/>
        <v>0</v>
      </c>
      <c r="AN35" s="45" t="str">
        <f t="shared" si="6"/>
        <v>#DIV/0!</v>
      </c>
      <c r="AP35" s="45">
        <f t="shared" si="7"/>
        <v>0</v>
      </c>
      <c r="AQ35" s="45">
        <f t="shared" si="8"/>
        <v>0</v>
      </c>
      <c r="AR35" s="45" t="str">
        <f t="shared" si="9"/>
        <v>#DIV/0!</v>
      </c>
      <c r="AT35" s="45">
        <f t="shared" si="10"/>
        <v>0</v>
      </c>
      <c r="AU35" s="45">
        <f t="shared" si="11"/>
        <v>0</v>
      </c>
      <c r="AV35" s="45" t="str">
        <f t="shared" si="12"/>
        <v>#DIV/0!</v>
      </c>
      <c r="AX35" s="45">
        <f t="shared" si="13"/>
        <v>0</v>
      </c>
      <c r="AY35" s="45">
        <f t="shared" si="14"/>
        <v>0</v>
      </c>
      <c r="AZ35" s="45" t="str">
        <f t="shared" si="15"/>
        <v>#DIV/0!</v>
      </c>
      <c r="BB35" s="45">
        <f t="shared" si="16"/>
        <v>0</v>
      </c>
      <c r="BC35" s="45">
        <f t="shared" si="17"/>
        <v>0</v>
      </c>
      <c r="BD35" s="45" t="str">
        <f t="shared" si="18"/>
        <v>#DIV/0!</v>
      </c>
    </row>
    <row r="36" ht="15.75" customHeight="1">
      <c r="A36" s="52">
        <v>26.0</v>
      </c>
      <c r="B36" s="167" t="str">
        <f>'IA Test only'!B37</f>
        <v/>
      </c>
      <c r="C36" s="168" t="str">
        <f>'IA Test only'!C37</f>
        <v/>
      </c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53">
        <f t="shared" si="1"/>
        <v>0</v>
      </c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52">
        <f t="shared" si="2"/>
        <v>0</v>
      </c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52">
        <f t="shared" si="3"/>
        <v>0</v>
      </c>
      <c r="AL36" s="45">
        <f t="shared" si="4"/>
        <v>0</v>
      </c>
      <c r="AM36" s="45">
        <f t="shared" si="5"/>
        <v>0</v>
      </c>
      <c r="AN36" s="45" t="str">
        <f t="shared" si="6"/>
        <v>#DIV/0!</v>
      </c>
      <c r="AP36" s="45">
        <f t="shared" si="7"/>
        <v>0</v>
      </c>
      <c r="AQ36" s="45">
        <f t="shared" si="8"/>
        <v>0</v>
      </c>
      <c r="AR36" s="45" t="str">
        <f t="shared" si="9"/>
        <v>#DIV/0!</v>
      </c>
      <c r="AT36" s="45">
        <f t="shared" si="10"/>
        <v>0</v>
      </c>
      <c r="AU36" s="45">
        <f t="shared" si="11"/>
        <v>0</v>
      </c>
      <c r="AV36" s="45" t="str">
        <f t="shared" si="12"/>
        <v>#DIV/0!</v>
      </c>
      <c r="AX36" s="45">
        <f t="shared" si="13"/>
        <v>0</v>
      </c>
      <c r="AY36" s="45">
        <f t="shared" si="14"/>
        <v>0</v>
      </c>
      <c r="AZ36" s="45" t="str">
        <f t="shared" si="15"/>
        <v>#DIV/0!</v>
      </c>
      <c r="BB36" s="45">
        <f t="shared" si="16"/>
        <v>0</v>
      </c>
      <c r="BC36" s="45">
        <f t="shared" si="17"/>
        <v>0</v>
      </c>
      <c r="BD36" s="45" t="str">
        <f t="shared" si="18"/>
        <v>#DIV/0!</v>
      </c>
    </row>
    <row r="37" ht="15.75" customHeight="1">
      <c r="A37" s="52">
        <v>27.0</v>
      </c>
      <c r="B37" s="167" t="str">
        <f>'IA Test only'!B38</f>
        <v/>
      </c>
      <c r="C37" s="168" t="str">
        <f>'IA Test only'!C38</f>
        <v/>
      </c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53">
        <f t="shared" si="1"/>
        <v>0</v>
      </c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52">
        <f t="shared" si="2"/>
        <v>0</v>
      </c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52">
        <f t="shared" si="3"/>
        <v>0</v>
      </c>
      <c r="AL37" s="45">
        <f t="shared" si="4"/>
        <v>0</v>
      </c>
      <c r="AM37" s="45">
        <f t="shared" si="5"/>
        <v>0</v>
      </c>
      <c r="AN37" s="45" t="str">
        <f t="shared" si="6"/>
        <v>#DIV/0!</v>
      </c>
      <c r="AP37" s="45">
        <f t="shared" si="7"/>
        <v>0</v>
      </c>
      <c r="AQ37" s="45">
        <f t="shared" si="8"/>
        <v>0</v>
      </c>
      <c r="AR37" s="45" t="str">
        <f t="shared" si="9"/>
        <v>#DIV/0!</v>
      </c>
      <c r="AT37" s="45">
        <f t="shared" si="10"/>
        <v>0</v>
      </c>
      <c r="AU37" s="45">
        <f t="shared" si="11"/>
        <v>0</v>
      </c>
      <c r="AV37" s="45" t="str">
        <f t="shared" si="12"/>
        <v>#DIV/0!</v>
      </c>
      <c r="AX37" s="45">
        <f t="shared" si="13"/>
        <v>0</v>
      </c>
      <c r="AY37" s="45">
        <f t="shared" si="14"/>
        <v>0</v>
      </c>
      <c r="AZ37" s="45" t="str">
        <f t="shared" si="15"/>
        <v>#DIV/0!</v>
      </c>
      <c r="BB37" s="45">
        <f t="shared" si="16"/>
        <v>0</v>
      </c>
      <c r="BC37" s="45">
        <f t="shared" si="17"/>
        <v>0</v>
      </c>
      <c r="BD37" s="45" t="str">
        <f t="shared" si="18"/>
        <v>#DIV/0!</v>
      </c>
      <c r="BE37" s="169"/>
    </row>
    <row r="38" ht="15.75" customHeight="1">
      <c r="A38" s="52">
        <v>28.0</v>
      </c>
      <c r="B38" s="167" t="str">
        <f>'IA Test only'!B39</f>
        <v/>
      </c>
      <c r="C38" s="168" t="str">
        <f>'IA Test only'!C39</f>
        <v/>
      </c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53">
        <f t="shared" si="1"/>
        <v>0</v>
      </c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52">
        <f t="shared" si="2"/>
        <v>0</v>
      </c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52">
        <f t="shared" si="3"/>
        <v>0</v>
      </c>
      <c r="AL38" s="45">
        <f t="shared" si="4"/>
        <v>0</v>
      </c>
      <c r="AM38" s="45">
        <f t="shared" si="5"/>
        <v>0</v>
      </c>
      <c r="AN38" s="45" t="str">
        <f t="shared" si="6"/>
        <v>#DIV/0!</v>
      </c>
      <c r="AP38" s="45">
        <f t="shared" si="7"/>
        <v>0</v>
      </c>
      <c r="AQ38" s="45">
        <f t="shared" si="8"/>
        <v>0</v>
      </c>
      <c r="AR38" s="45" t="str">
        <f t="shared" si="9"/>
        <v>#DIV/0!</v>
      </c>
      <c r="AT38" s="45">
        <f t="shared" si="10"/>
        <v>0</v>
      </c>
      <c r="AU38" s="45">
        <f t="shared" si="11"/>
        <v>0</v>
      </c>
      <c r="AV38" s="45" t="str">
        <f t="shared" si="12"/>
        <v>#DIV/0!</v>
      </c>
      <c r="AX38" s="45">
        <f t="shared" si="13"/>
        <v>0</v>
      </c>
      <c r="AY38" s="45">
        <f t="shared" si="14"/>
        <v>0</v>
      </c>
      <c r="AZ38" s="45" t="str">
        <f t="shared" si="15"/>
        <v>#DIV/0!</v>
      </c>
      <c r="BB38" s="45">
        <f t="shared" si="16"/>
        <v>0</v>
      </c>
      <c r="BC38" s="45">
        <f t="shared" si="17"/>
        <v>0</v>
      </c>
      <c r="BD38" s="45" t="str">
        <f t="shared" si="18"/>
        <v>#DIV/0!</v>
      </c>
    </row>
    <row r="39" ht="15.75" customHeight="1">
      <c r="A39" s="52">
        <v>29.0</v>
      </c>
      <c r="B39" s="167" t="str">
        <f>'IA Test only'!B40</f>
        <v/>
      </c>
      <c r="C39" s="168" t="str">
        <f>'IA Test only'!C40</f>
        <v/>
      </c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53">
        <f t="shared" si="1"/>
        <v>0</v>
      </c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52">
        <f t="shared" si="2"/>
        <v>0</v>
      </c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52">
        <f t="shared" si="3"/>
        <v>0</v>
      </c>
      <c r="AL39" s="45">
        <f t="shared" si="4"/>
        <v>0</v>
      </c>
      <c r="AM39" s="45">
        <f t="shared" si="5"/>
        <v>0</v>
      </c>
      <c r="AN39" s="45" t="str">
        <f t="shared" si="6"/>
        <v>#DIV/0!</v>
      </c>
      <c r="AP39" s="45">
        <f t="shared" si="7"/>
        <v>0</v>
      </c>
      <c r="AQ39" s="45">
        <f t="shared" si="8"/>
        <v>0</v>
      </c>
      <c r="AR39" s="45" t="str">
        <f t="shared" si="9"/>
        <v>#DIV/0!</v>
      </c>
      <c r="AT39" s="45">
        <f t="shared" si="10"/>
        <v>0</v>
      </c>
      <c r="AU39" s="45">
        <f t="shared" si="11"/>
        <v>0</v>
      </c>
      <c r="AV39" s="45" t="str">
        <f t="shared" si="12"/>
        <v>#DIV/0!</v>
      </c>
      <c r="AX39" s="45">
        <f t="shared" si="13"/>
        <v>0</v>
      </c>
      <c r="AY39" s="45">
        <f t="shared" si="14"/>
        <v>0</v>
      </c>
      <c r="AZ39" s="45" t="str">
        <f t="shared" si="15"/>
        <v>#DIV/0!</v>
      </c>
      <c r="BB39" s="45">
        <f t="shared" si="16"/>
        <v>0</v>
      </c>
      <c r="BC39" s="45">
        <f t="shared" si="17"/>
        <v>0</v>
      </c>
      <c r="BD39" s="45" t="str">
        <f t="shared" si="18"/>
        <v>#DIV/0!</v>
      </c>
    </row>
    <row r="40" ht="15.75" customHeight="1">
      <c r="A40" s="52">
        <v>30.0</v>
      </c>
      <c r="B40" s="167" t="str">
        <f>'IA Test only'!B41</f>
        <v/>
      </c>
      <c r="C40" s="168" t="str">
        <f>'IA Test only'!C41</f>
        <v/>
      </c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53">
        <f t="shared" si="1"/>
        <v>0</v>
      </c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52">
        <f t="shared" si="2"/>
        <v>0</v>
      </c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52">
        <f t="shared" si="3"/>
        <v>0</v>
      </c>
      <c r="AL40" s="45">
        <f t="shared" si="4"/>
        <v>0</v>
      </c>
      <c r="AM40" s="45">
        <f t="shared" si="5"/>
        <v>0</v>
      </c>
      <c r="AN40" s="45" t="str">
        <f t="shared" si="6"/>
        <v>#DIV/0!</v>
      </c>
      <c r="AP40" s="45">
        <f t="shared" si="7"/>
        <v>0</v>
      </c>
      <c r="AQ40" s="45">
        <f t="shared" si="8"/>
        <v>0</v>
      </c>
      <c r="AR40" s="45" t="str">
        <f t="shared" si="9"/>
        <v>#DIV/0!</v>
      </c>
      <c r="AT40" s="45">
        <f t="shared" si="10"/>
        <v>0</v>
      </c>
      <c r="AU40" s="45">
        <f t="shared" si="11"/>
        <v>0</v>
      </c>
      <c r="AV40" s="45" t="str">
        <f t="shared" si="12"/>
        <v>#DIV/0!</v>
      </c>
      <c r="AX40" s="45">
        <f t="shared" si="13"/>
        <v>0</v>
      </c>
      <c r="AY40" s="45">
        <f t="shared" si="14"/>
        <v>0</v>
      </c>
      <c r="AZ40" s="45" t="str">
        <f t="shared" si="15"/>
        <v>#DIV/0!</v>
      </c>
      <c r="BB40" s="45">
        <f t="shared" si="16"/>
        <v>0</v>
      </c>
      <c r="BC40" s="45">
        <f t="shared" si="17"/>
        <v>0</v>
      </c>
      <c r="BD40" s="45" t="str">
        <f t="shared" si="18"/>
        <v>#DIV/0!</v>
      </c>
    </row>
    <row r="41" ht="15.75" customHeight="1">
      <c r="A41" s="52">
        <v>31.0</v>
      </c>
      <c r="B41" s="167" t="str">
        <f>'IA Test only'!B42</f>
        <v/>
      </c>
      <c r="C41" s="168" t="str">
        <f>'IA Test only'!C42</f>
        <v/>
      </c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53">
        <f t="shared" si="1"/>
        <v>0</v>
      </c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52">
        <f t="shared" si="2"/>
        <v>0</v>
      </c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52">
        <f t="shared" si="3"/>
        <v>0</v>
      </c>
      <c r="AL41" s="45">
        <f t="shared" si="4"/>
        <v>0</v>
      </c>
      <c r="AM41" s="45">
        <f t="shared" si="5"/>
        <v>0</v>
      </c>
      <c r="AN41" s="45" t="str">
        <f t="shared" si="6"/>
        <v>#DIV/0!</v>
      </c>
      <c r="AP41" s="45">
        <f t="shared" si="7"/>
        <v>0</v>
      </c>
      <c r="AQ41" s="45">
        <f t="shared" si="8"/>
        <v>0</v>
      </c>
      <c r="AR41" s="45" t="str">
        <f t="shared" si="9"/>
        <v>#DIV/0!</v>
      </c>
      <c r="AT41" s="45">
        <f t="shared" si="10"/>
        <v>0</v>
      </c>
      <c r="AU41" s="45">
        <f t="shared" si="11"/>
        <v>0</v>
      </c>
      <c r="AV41" s="45" t="str">
        <f t="shared" si="12"/>
        <v>#DIV/0!</v>
      </c>
      <c r="AX41" s="45">
        <f t="shared" si="13"/>
        <v>0</v>
      </c>
      <c r="AY41" s="45">
        <f t="shared" si="14"/>
        <v>0</v>
      </c>
      <c r="AZ41" s="45" t="str">
        <f t="shared" si="15"/>
        <v>#DIV/0!</v>
      </c>
      <c r="BB41" s="45">
        <f t="shared" si="16"/>
        <v>0</v>
      </c>
      <c r="BC41" s="45">
        <f t="shared" si="17"/>
        <v>0</v>
      </c>
      <c r="BD41" s="45" t="str">
        <f t="shared" si="18"/>
        <v>#DIV/0!</v>
      </c>
    </row>
    <row r="42" ht="15.75" customHeight="1">
      <c r="A42" s="52">
        <v>32.0</v>
      </c>
      <c r="B42" s="167" t="str">
        <f>'IA Test only'!B43</f>
        <v/>
      </c>
      <c r="C42" s="168" t="str">
        <f>'IA Test only'!C43</f>
        <v/>
      </c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53">
        <f t="shared" si="1"/>
        <v>0</v>
      </c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52">
        <f t="shared" si="2"/>
        <v>0</v>
      </c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52">
        <f t="shared" si="3"/>
        <v>0</v>
      </c>
      <c r="AL42" s="45">
        <f t="shared" si="4"/>
        <v>0</v>
      </c>
      <c r="AM42" s="45">
        <f t="shared" si="5"/>
        <v>0</v>
      </c>
      <c r="AN42" s="45" t="str">
        <f t="shared" si="6"/>
        <v>#DIV/0!</v>
      </c>
      <c r="AP42" s="45">
        <f t="shared" si="7"/>
        <v>0</v>
      </c>
      <c r="AQ42" s="45">
        <f t="shared" si="8"/>
        <v>0</v>
      </c>
      <c r="AR42" s="45" t="str">
        <f t="shared" si="9"/>
        <v>#DIV/0!</v>
      </c>
      <c r="AT42" s="45">
        <f t="shared" si="10"/>
        <v>0</v>
      </c>
      <c r="AU42" s="45">
        <f t="shared" si="11"/>
        <v>0</v>
      </c>
      <c r="AV42" s="45" t="str">
        <f t="shared" si="12"/>
        <v>#DIV/0!</v>
      </c>
      <c r="AX42" s="45">
        <f t="shared" si="13"/>
        <v>0</v>
      </c>
      <c r="AY42" s="45">
        <f t="shared" si="14"/>
        <v>0</v>
      </c>
      <c r="AZ42" s="45" t="str">
        <f t="shared" si="15"/>
        <v>#DIV/0!</v>
      </c>
      <c r="BB42" s="45">
        <f t="shared" si="16"/>
        <v>0</v>
      </c>
      <c r="BC42" s="45">
        <f t="shared" si="17"/>
        <v>0</v>
      </c>
      <c r="BD42" s="45" t="str">
        <f t="shared" si="18"/>
        <v>#DIV/0!</v>
      </c>
    </row>
    <row r="43" ht="15.75" customHeight="1">
      <c r="A43" s="52">
        <v>33.0</v>
      </c>
      <c r="B43" s="167" t="str">
        <f>'IA Test only'!B44</f>
        <v/>
      </c>
      <c r="C43" s="168" t="str">
        <f>'IA Test only'!C44</f>
        <v/>
      </c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53">
        <f t="shared" si="1"/>
        <v>0</v>
      </c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52">
        <f t="shared" si="2"/>
        <v>0</v>
      </c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52">
        <f t="shared" si="3"/>
        <v>0</v>
      </c>
      <c r="AL43" s="45">
        <f t="shared" si="4"/>
        <v>0</v>
      </c>
      <c r="AM43" s="45">
        <f t="shared" si="5"/>
        <v>0</v>
      </c>
      <c r="AN43" s="45" t="str">
        <f t="shared" si="6"/>
        <v>#DIV/0!</v>
      </c>
      <c r="AP43" s="45">
        <f t="shared" si="7"/>
        <v>0</v>
      </c>
      <c r="AQ43" s="45">
        <f t="shared" si="8"/>
        <v>0</v>
      </c>
      <c r="AR43" s="45" t="str">
        <f t="shared" si="9"/>
        <v>#DIV/0!</v>
      </c>
      <c r="AT43" s="45">
        <f t="shared" si="10"/>
        <v>0</v>
      </c>
      <c r="AU43" s="45">
        <f t="shared" si="11"/>
        <v>0</v>
      </c>
      <c r="AV43" s="45" t="str">
        <f t="shared" si="12"/>
        <v>#DIV/0!</v>
      </c>
      <c r="AX43" s="45">
        <f t="shared" si="13"/>
        <v>0</v>
      </c>
      <c r="AY43" s="45">
        <f t="shared" si="14"/>
        <v>0</v>
      </c>
      <c r="AZ43" s="45" t="str">
        <f t="shared" si="15"/>
        <v>#DIV/0!</v>
      </c>
      <c r="BB43" s="45">
        <f t="shared" si="16"/>
        <v>0</v>
      </c>
      <c r="BC43" s="45">
        <f t="shared" si="17"/>
        <v>0</v>
      </c>
      <c r="BD43" s="45" t="str">
        <f t="shared" si="18"/>
        <v>#DIV/0!</v>
      </c>
    </row>
    <row r="44" ht="15.75" customHeight="1">
      <c r="A44" s="52">
        <v>34.0</v>
      </c>
      <c r="B44" s="167" t="str">
        <f>'IA Test only'!B45</f>
        <v/>
      </c>
      <c r="C44" s="168" t="str">
        <f>'IA Test only'!C45</f>
        <v/>
      </c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53">
        <f t="shared" si="1"/>
        <v>0</v>
      </c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52">
        <f t="shared" si="2"/>
        <v>0</v>
      </c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52">
        <f t="shared" si="3"/>
        <v>0</v>
      </c>
      <c r="AL44" s="45">
        <f t="shared" si="4"/>
        <v>0</v>
      </c>
      <c r="AM44" s="45">
        <f t="shared" si="5"/>
        <v>0</v>
      </c>
      <c r="AN44" s="45" t="str">
        <f t="shared" si="6"/>
        <v>#DIV/0!</v>
      </c>
      <c r="AP44" s="45">
        <f t="shared" si="7"/>
        <v>0</v>
      </c>
      <c r="AQ44" s="45">
        <f t="shared" si="8"/>
        <v>0</v>
      </c>
      <c r="AR44" s="45" t="str">
        <f t="shared" si="9"/>
        <v>#DIV/0!</v>
      </c>
      <c r="AT44" s="45">
        <f t="shared" si="10"/>
        <v>0</v>
      </c>
      <c r="AU44" s="45">
        <f t="shared" si="11"/>
        <v>0</v>
      </c>
      <c r="AV44" s="45" t="str">
        <f t="shared" si="12"/>
        <v>#DIV/0!</v>
      </c>
      <c r="AX44" s="45">
        <f t="shared" si="13"/>
        <v>0</v>
      </c>
      <c r="AY44" s="45">
        <f t="shared" si="14"/>
        <v>0</v>
      </c>
      <c r="AZ44" s="45" t="str">
        <f t="shared" si="15"/>
        <v>#DIV/0!</v>
      </c>
      <c r="BB44" s="45">
        <f t="shared" si="16"/>
        <v>0</v>
      </c>
      <c r="BC44" s="45">
        <f t="shared" si="17"/>
        <v>0</v>
      </c>
      <c r="BD44" s="45" t="str">
        <f t="shared" si="18"/>
        <v>#DIV/0!</v>
      </c>
    </row>
    <row r="45" ht="15.75" customHeight="1">
      <c r="A45" s="52">
        <v>35.0</v>
      </c>
      <c r="B45" s="167" t="str">
        <f>'IA Test only'!B46</f>
        <v/>
      </c>
      <c r="C45" s="168" t="str">
        <f>'IA Test only'!C46</f>
        <v/>
      </c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53">
        <f t="shared" si="1"/>
        <v>0</v>
      </c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52">
        <f t="shared" si="2"/>
        <v>0</v>
      </c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52">
        <f t="shared" si="3"/>
        <v>0</v>
      </c>
      <c r="AL45" s="45">
        <f t="shared" si="4"/>
        <v>0</v>
      </c>
      <c r="AM45" s="45">
        <f t="shared" si="5"/>
        <v>0</v>
      </c>
      <c r="AN45" s="45" t="str">
        <f t="shared" si="6"/>
        <v>#DIV/0!</v>
      </c>
      <c r="AP45" s="45">
        <f t="shared" si="7"/>
        <v>0</v>
      </c>
      <c r="AQ45" s="45">
        <f t="shared" si="8"/>
        <v>0</v>
      </c>
      <c r="AR45" s="45" t="str">
        <f t="shared" si="9"/>
        <v>#DIV/0!</v>
      </c>
      <c r="AT45" s="45">
        <f t="shared" si="10"/>
        <v>0</v>
      </c>
      <c r="AU45" s="45">
        <f t="shared" si="11"/>
        <v>0</v>
      </c>
      <c r="AV45" s="45" t="str">
        <f t="shared" si="12"/>
        <v>#DIV/0!</v>
      </c>
      <c r="AX45" s="45">
        <f t="shared" si="13"/>
        <v>0</v>
      </c>
      <c r="AY45" s="45">
        <f t="shared" si="14"/>
        <v>0</v>
      </c>
      <c r="AZ45" s="45" t="str">
        <f t="shared" si="15"/>
        <v>#DIV/0!</v>
      </c>
      <c r="BB45" s="45">
        <f t="shared" si="16"/>
        <v>0</v>
      </c>
      <c r="BC45" s="45">
        <f t="shared" si="17"/>
        <v>0</v>
      </c>
      <c r="BD45" s="45" t="str">
        <f t="shared" si="18"/>
        <v>#DIV/0!</v>
      </c>
    </row>
    <row r="46" ht="15.75" customHeight="1">
      <c r="A46" s="52">
        <v>36.0</v>
      </c>
      <c r="B46" s="167" t="str">
        <f>'IA Test only'!B47</f>
        <v/>
      </c>
      <c r="C46" s="168" t="str">
        <f>'IA Test only'!C47</f>
        <v/>
      </c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53">
        <f t="shared" si="1"/>
        <v>0</v>
      </c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52">
        <f t="shared" si="2"/>
        <v>0</v>
      </c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52">
        <f t="shared" si="3"/>
        <v>0</v>
      </c>
      <c r="AL46" s="45">
        <f t="shared" si="4"/>
        <v>0</v>
      </c>
      <c r="AM46" s="45">
        <f t="shared" si="5"/>
        <v>0</v>
      </c>
      <c r="AN46" s="45" t="str">
        <f t="shared" si="6"/>
        <v>#DIV/0!</v>
      </c>
      <c r="AP46" s="45">
        <f t="shared" si="7"/>
        <v>0</v>
      </c>
      <c r="AQ46" s="45">
        <f t="shared" si="8"/>
        <v>0</v>
      </c>
      <c r="AR46" s="45" t="str">
        <f t="shared" si="9"/>
        <v>#DIV/0!</v>
      </c>
      <c r="AT46" s="45">
        <f t="shared" si="10"/>
        <v>0</v>
      </c>
      <c r="AU46" s="45">
        <f t="shared" si="11"/>
        <v>0</v>
      </c>
      <c r="AV46" s="45" t="str">
        <f t="shared" si="12"/>
        <v>#DIV/0!</v>
      </c>
      <c r="AX46" s="45">
        <f t="shared" si="13"/>
        <v>0</v>
      </c>
      <c r="AY46" s="45">
        <f t="shared" si="14"/>
        <v>0</v>
      </c>
      <c r="AZ46" s="45" t="str">
        <f t="shared" si="15"/>
        <v>#DIV/0!</v>
      </c>
      <c r="BB46" s="45">
        <f t="shared" si="16"/>
        <v>0</v>
      </c>
      <c r="BC46" s="45">
        <f t="shared" si="17"/>
        <v>0</v>
      </c>
      <c r="BD46" s="45" t="str">
        <f t="shared" si="18"/>
        <v>#DIV/0!</v>
      </c>
    </row>
    <row r="47" ht="15.75" customHeight="1">
      <c r="A47" s="52">
        <v>37.0</v>
      </c>
      <c r="B47" s="167" t="str">
        <f>'IA Test only'!B48</f>
        <v/>
      </c>
      <c r="C47" s="168" t="str">
        <f>'IA Test only'!C48</f>
        <v/>
      </c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53">
        <f t="shared" si="1"/>
        <v>0</v>
      </c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52">
        <f t="shared" si="2"/>
        <v>0</v>
      </c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52">
        <f t="shared" si="3"/>
        <v>0</v>
      </c>
      <c r="AL47" s="45">
        <f t="shared" si="4"/>
        <v>0</v>
      </c>
      <c r="AM47" s="45">
        <f t="shared" si="5"/>
        <v>0</v>
      </c>
      <c r="AN47" s="45" t="str">
        <f t="shared" si="6"/>
        <v>#DIV/0!</v>
      </c>
      <c r="AP47" s="45">
        <f t="shared" si="7"/>
        <v>0</v>
      </c>
      <c r="AQ47" s="45">
        <f t="shared" si="8"/>
        <v>0</v>
      </c>
      <c r="AR47" s="45" t="str">
        <f t="shared" si="9"/>
        <v>#DIV/0!</v>
      </c>
      <c r="AT47" s="45">
        <f t="shared" si="10"/>
        <v>0</v>
      </c>
      <c r="AU47" s="45">
        <f t="shared" si="11"/>
        <v>0</v>
      </c>
      <c r="AV47" s="45" t="str">
        <f t="shared" si="12"/>
        <v>#DIV/0!</v>
      </c>
      <c r="AX47" s="45">
        <f t="shared" si="13"/>
        <v>0</v>
      </c>
      <c r="AY47" s="45">
        <f t="shared" si="14"/>
        <v>0</v>
      </c>
      <c r="AZ47" s="45" t="str">
        <f t="shared" si="15"/>
        <v>#DIV/0!</v>
      </c>
      <c r="BB47" s="45">
        <f t="shared" si="16"/>
        <v>0</v>
      </c>
      <c r="BC47" s="45">
        <f t="shared" si="17"/>
        <v>0</v>
      </c>
      <c r="BD47" s="45" t="str">
        <f t="shared" si="18"/>
        <v>#DIV/0!</v>
      </c>
    </row>
    <row r="48" ht="15.75" customHeight="1">
      <c r="A48" s="52">
        <v>38.0</v>
      </c>
      <c r="B48" s="167" t="str">
        <f>'IA Test only'!B49</f>
        <v/>
      </c>
      <c r="C48" s="168" t="str">
        <f>'IA Test only'!C49</f>
        <v/>
      </c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53">
        <f t="shared" si="1"/>
        <v>0</v>
      </c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52">
        <f t="shared" si="2"/>
        <v>0</v>
      </c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52">
        <f t="shared" si="3"/>
        <v>0</v>
      </c>
      <c r="AL48" s="45">
        <f t="shared" si="4"/>
        <v>0</v>
      </c>
      <c r="AM48" s="45">
        <f t="shared" si="5"/>
        <v>0</v>
      </c>
      <c r="AN48" s="45" t="str">
        <f t="shared" si="6"/>
        <v>#DIV/0!</v>
      </c>
      <c r="AP48" s="45">
        <f t="shared" si="7"/>
        <v>0</v>
      </c>
      <c r="AQ48" s="45">
        <f t="shared" si="8"/>
        <v>0</v>
      </c>
      <c r="AR48" s="45" t="str">
        <f t="shared" si="9"/>
        <v>#DIV/0!</v>
      </c>
      <c r="AT48" s="45">
        <f t="shared" si="10"/>
        <v>0</v>
      </c>
      <c r="AU48" s="45">
        <f t="shared" si="11"/>
        <v>0</v>
      </c>
      <c r="AV48" s="45" t="str">
        <f t="shared" si="12"/>
        <v>#DIV/0!</v>
      </c>
      <c r="AX48" s="45">
        <f t="shared" si="13"/>
        <v>0</v>
      </c>
      <c r="AY48" s="45">
        <f t="shared" si="14"/>
        <v>0</v>
      </c>
      <c r="AZ48" s="45" t="str">
        <f t="shared" si="15"/>
        <v>#DIV/0!</v>
      </c>
      <c r="BB48" s="45">
        <f t="shared" si="16"/>
        <v>0</v>
      </c>
      <c r="BC48" s="45">
        <f t="shared" si="17"/>
        <v>0</v>
      </c>
      <c r="BD48" s="45" t="str">
        <f t="shared" si="18"/>
        <v>#DIV/0!</v>
      </c>
    </row>
    <row r="49" ht="15.75" customHeight="1">
      <c r="A49" s="52">
        <v>39.0</v>
      </c>
      <c r="B49" s="167" t="str">
        <f>'IA Test only'!B50</f>
        <v/>
      </c>
      <c r="C49" s="168" t="str">
        <f>'IA Test only'!C50</f>
        <v/>
      </c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53">
        <f t="shared" si="1"/>
        <v>0</v>
      </c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52">
        <f t="shared" si="2"/>
        <v>0</v>
      </c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52">
        <f t="shared" si="3"/>
        <v>0</v>
      </c>
      <c r="AL49" s="45">
        <f t="shared" si="4"/>
        <v>0</v>
      </c>
      <c r="AM49" s="45">
        <f t="shared" si="5"/>
        <v>0</v>
      </c>
      <c r="AN49" s="45" t="str">
        <f t="shared" si="6"/>
        <v>#DIV/0!</v>
      </c>
      <c r="AP49" s="45">
        <f t="shared" si="7"/>
        <v>0</v>
      </c>
      <c r="AQ49" s="45">
        <f t="shared" si="8"/>
        <v>0</v>
      </c>
      <c r="AR49" s="45" t="str">
        <f t="shared" si="9"/>
        <v>#DIV/0!</v>
      </c>
      <c r="AT49" s="45">
        <f t="shared" si="10"/>
        <v>0</v>
      </c>
      <c r="AU49" s="45">
        <f t="shared" si="11"/>
        <v>0</v>
      </c>
      <c r="AV49" s="45" t="str">
        <f t="shared" si="12"/>
        <v>#DIV/0!</v>
      </c>
      <c r="AX49" s="45">
        <f t="shared" si="13"/>
        <v>0</v>
      </c>
      <c r="AY49" s="45">
        <f t="shared" si="14"/>
        <v>0</v>
      </c>
      <c r="AZ49" s="45" t="str">
        <f t="shared" si="15"/>
        <v>#DIV/0!</v>
      </c>
      <c r="BB49" s="45">
        <f t="shared" si="16"/>
        <v>0</v>
      </c>
      <c r="BC49" s="45">
        <f t="shared" si="17"/>
        <v>0</v>
      </c>
      <c r="BD49" s="45" t="str">
        <f t="shared" si="18"/>
        <v>#DIV/0!</v>
      </c>
    </row>
    <row r="50" ht="15.75" customHeight="1">
      <c r="A50" s="52">
        <v>40.0</v>
      </c>
      <c r="B50" s="167" t="str">
        <f>'IA Test only'!B51</f>
        <v/>
      </c>
      <c r="C50" s="168" t="str">
        <f>'IA Test only'!C51</f>
        <v/>
      </c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53">
        <f t="shared" si="1"/>
        <v>0</v>
      </c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52">
        <f t="shared" si="2"/>
        <v>0</v>
      </c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52">
        <f t="shared" si="3"/>
        <v>0</v>
      </c>
      <c r="AL50" s="45">
        <f t="shared" si="4"/>
        <v>0</v>
      </c>
      <c r="AM50" s="45">
        <f t="shared" si="5"/>
        <v>0</v>
      </c>
      <c r="AN50" s="45" t="str">
        <f t="shared" si="6"/>
        <v>#DIV/0!</v>
      </c>
      <c r="AP50" s="45">
        <f t="shared" si="7"/>
        <v>0</v>
      </c>
      <c r="AQ50" s="45">
        <f t="shared" si="8"/>
        <v>0</v>
      </c>
      <c r="AR50" s="45" t="str">
        <f t="shared" si="9"/>
        <v>#DIV/0!</v>
      </c>
      <c r="AT50" s="45">
        <f t="shared" si="10"/>
        <v>0</v>
      </c>
      <c r="AU50" s="45">
        <f t="shared" si="11"/>
        <v>0</v>
      </c>
      <c r="AV50" s="45" t="str">
        <f t="shared" si="12"/>
        <v>#DIV/0!</v>
      </c>
      <c r="AX50" s="45">
        <f t="shared" si="13"/>
        <v>0</v>
      </c>
      <c r="AY50" s="45">
        <f t="shared" si="14"/>
        <v>0</v>
      </c>
      <c r="AZ50" s="45" t="str">
        <f t="shared" si="15"/>
        <v>#DIV/0!</v>
      </c>
      <c r="BB50" s="45">
        <f t="shared" si="16"/>
        <v>0</v>
      </c>
      <c r="BC50" s="45">
        <f t="shared" si="17"/>
        <v>0</v>
      </c>
      <c r="BD50" s="45" t="str">
        <f t="shared" si="18"/>
        <v>#DIV/0!</v>
      </c>
    </row>
    <row r="51" ht="15.75" customHeight="1">
      <c r="A51" s="52">
        <v>41.0</v>
      </c>
      <c r="B51" s="167" t="str">
        <f>'IA Test only'!B52</f>
        <v/>
      </c>
      <c r="C51" s="168" t="str">
        <f>'IA Test only'!C52</f>
        <v/>
      </c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53">
        <f t="shared" si="1"/>
        <v>0</v>
      </c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52">
        <f t="shared" si="2"/>
        <v>0</v>
      </c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52">
        <f t="shared" si="3"/>
        <v>0</v>
      </c>
      <c r="AL51" s="45">
        <f t="shared" si="4"/>
        <v>0</v>
      </c>
      <c r="AM51" s="45">
        <f t="shared" si="5"/>
        <v>0</v>
      </c>
      <c r="AN51" s="45" t="str">
        <f t="shared" si="6"/>
        <v>#DIV/0!</v>
      </c>
      <c r="AP51" s="45">
        <f t="shared" si="7"/>
        <v>0</v>
      </c>
      <c r="AQ51" s="45">
        <f t="shared" si="8"/>
        <v>0</v>
      </c>
      <c r="AR51" s="45" t="str">
        <f t="shared" si="9"/>
        <v>#DIV/0!</v>
      </c>
      <c r="AT51" s="45">
        <f t="shared" si="10"/>
        <v>0</v>
      </c>
      <c r="AU51" s="45">
        <f t="shared" si="11"/>
        <v>0</v>
      </c>
      <c r="AV51" s="45" t="str">
        <f t="shared" si="12"/>
        <v>#DIV/0!</v>
      </c>
      <c r="AX51" s="45">
        <f t="shared" si="13"/>
        <v>0</v>
      </c>
      <c r="AY51" s="45">
        <f t="shared" si="14"/>
        <v>0</v>
      </c>
      <c r="AZ51" s="45" t="str">
        <f t="shared" si="15"/>
        <v>#DIV/0!</v>
      </c>
      <c r="BB51" s="45">
        <f t="shared" si="16"/>
        <v>0</v>
      </c>
      <c r="BC51" s="45">
        <f t="shared" si="17"/>
        <v>0</v>
      </c>
      <c r="BD51" s="45" t="str">
        <f t="shared" si="18"/>
        <v>#DIV/0!</v>
      </c>
    </row>
    <row r="52" ht="15.75" customHeight="1">
      <c r="A52" s="52">
        <v>42.0</v>
      </c>
      <c r="B52" s="167" t="str">
        <f>'IA Test only'!B53</f>
        <v/>
      </c>
      <c r="C52" s="168" t="str">
        <f>'IA Test only'!C53</f>
        <v/>
      </c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53">
        <f t="shared" si="1"/>
        <v>0</v>
      </c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52">
        <f t="shared" si="2"/>
        <v>0</v>
      </c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52">
        <f t="shared" si="3"/>
        <v>0</v>
      </c>
      <c r="AL52" s="45">
        <f t="shared" si="4"/>
        <v>0</v>
      </c>
      <c r="AM52" s="45">
        <f t="shared" si="5"/>
        <v>0</v>
      </c>
      <c r="AN52" s="45" t="str">
        <f t="shared" si="6"/>
        <v>#DIV/0!</v>
      </c>
      <c r="AP52" s="45">
        <f t="shared" si="7"/>
        <v>0</v>
      </c>
      <c r="AQ52" s="45">
        <f t="shared" si="8"/>
        <v>0</v>
      </c>
      <c r="AR52" s="45" t="str">
        <f t="shared" si="9"/>
        <v>#DIV/0!</v>
      </c>
      <c r="AT52" s="45">
        <f t="shared" si="10"/>
        <v>0</v>
      </c>
      <c r="AU52" s="45">
        <f t="shared" si="11"/>
        <v>0</v>
      </c>
      <c r="AV52" s="45" t="str">
        <f t="shared" si="12"/>
        <v>#DIV/0!</v>
      </c>
      <c r="AX52" s="45">
        <f t="shared" si="13"/>
        <v>0</v>
      </c>
      <c r="AY52" s="45">
        <f t="shared" si="14"/>
        <v>0</v>
      </c>
      <c r="AZ52" s="45" t="str">
        <f t="shared" si="15"/>
        <v>#DIV/0!</v>
      </c>
      <c r="BB52" s="45">
        <f t="shared" si="16"/>
        <v>0</v>
      </c>
      <c r="BC52" s="45">
        <f t="shared" si="17"/>
        <v>0</v>
      </c>
      <c r="BD52" s="45" t="str">
        <f t="shared" si="18"/>
        <v>#DIV/0!</v>
      </c>
    </row>
    <row r="53" ht="15.75" customHeight="1">
      <c r="A53" s="52">
        <v>43.0</v>
      </c>
      <c r="B53" s="167" t="str">
        <f>'IA Test only'!B54</f>
        <v/>
      </c>
      <c r="C53" s="168" t="str">
        <f>'IA Test only'!C54</f>
        <v/>
      </c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53">
        <f t="shared" si="1"/>
        <v>0</v>
      </c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52">
        <f t="shared" si="2"/>
        <v>0</v>
      </c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52">
        <f t="shared" si="3"/>
        <v>0</v>
      </c>
      <c r="AL53" s="45">
        <f t="shared" si="4"/>
        <v>0</v>
      </c>
      <c r="AM53" s="45">
        <f t="shared" si="5"/>
        <v>0</v>
      </c>
      <c r="AN53" s="45" t="str">
        <f t="shared" si="6"/>
        <v>#DIV/0!</v>
      </c>
      <c r="AP53" s="45">
        <f t="shared" si="7"/>
        <v>0</v>
      </c>
      <c r="AQ53" s="45">
        <f t="shared" si="8"/>
        <v>0</v>
      </c>
      <c r="AR53" s="45" t="str">
        <f t="shared" si="9"/>
        <v>#DIV/0!</v>
      </c>
      <c r="AT53" s="45">
        <f t="shared" si="10"/>
        <v>0</v>
      </c>
      <c r="AU53" s="45">
        <f t="shared" si="11"/>
        <v>0</v>
      </c>
      <c r="AV53" s="45" t="str">
        <f t="shared" si="12"/>
        <v>#DIV/0!</v>
      </c>
      <c r="AX53" s="45">
        <f t="shared" si="13"/>
        <v>0</v>
      </c>
      <c r="AY53" s="45">
        <f t="shared" si="14"/>
        <v>0</v>
      </c>
      <c r="AZ53" s="45" t="str">
        <f t="shared" si="15"/>
        <v>#DIV/0!</v>
      </c>
      <c r="BB53" s="45">
        <f t="shared" si="16"/>
        <v>0</v>
      </c>
      <c r="BC53" s="45">
        <f t="shared" si="17"/>
        <v>0</v>
      </c>
      <c r="BD53" s="45" t="str">
        <f t="shared" si="18"/>
        <v>#DIV/0!</v>
      </c>
    </row>
    <row r="54" ht="15.75" customHeight="1">
      <c r="A54" s="52">
        <v>44.0</v>
      </c>
      <c r="B54" s="167" t="str">
        <f>'IA Test only'!B55</f>
        <v/>
      </c>
      <c r="C54" s="168" t="str">
        <f>'IA Test only'!C55</f>
        <v/>
      </c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53">
        <f t="shared" si="1"/>
        <v>0</v>
      </c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52">
        <f t="shared" si="2"/>
        <v>0</v>
      </c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52">
        <f t="shared" si="3"/>
        <v>0</v>
      </c>
      <c r="AL54" s="45">
        <f t="shared" si="4"/>
        <v>0</v>
      </c>
      <c r="AM54" s="45">
        <f t="shared" si="5"/>
        <v>0</v>
      </c>
      <c r="AN54" s="45" t="str">
        <f t="shared" si="6"/>
        <v>#DIV/0!</v>
      </c>
      <c r="AP54" s="45">
        <f t="shared" si="7"/>
        <v>0</v>
      </c>
      <c r="AQ54" s="45">
        <f t="shared" si="8"/>
        <v>0</v>
      </c>
      <c r="AR54" s="45" t="str">
        <f t="shared" si="9"/>
        <v>#DIV/0!</v>
      </c>
      <c r="AT54" s="45">
        <f t="shared" si="10"/>
        <v>0</v>
      </c>
      <c r="AU54" s="45">
        <f t="shared" si="11"/>
        <v>0</v>
      </c>
      <c r="AV54" s="45" t="str">
        <f t="shared" si="12"/>
        <v>#DIV/0!</v>
      </c>
      <c r="AX54" s="45">
        <f t="shared" si="13"/>
        <v>0</v>
      </c>
      <c r="AY54" s="45">
        <f t="shared" si="14"/>
        <v>0</v>
      </c>
      <c r="AZ54" s="45" t="str">
        <f t="shared" si="15"/>
        <v>#DIV/0!</v>
      </c>
      <c r="BB54" s="45">
        <f t="shared" si="16"/>
        <v>0</v>
      </c>
      <c r="BC54" s="45">
        <f t="shared" si="17"/>
        <v>0</v>
      </c>
      <c r="BD54" s="45" t="str">
        <f t="shared" si="18"/>
        <v>#DIV/0!</v>
      </c>
    </row>
    <row r="55" ht="15.75" customHeight="1">
      <c r="A55" s="52">
        <v>45.0</v>
      </c>
      <c r="B55" s="167" t="str">
        <f>'IA Test only'!B56</f>
        <v/>
      </c>
      <c r="C55" s="168" t="str">
        <f>'IA Test only'!C56</f>
        <v/>
      </c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53">
        <f t="shared" si="1"/>
        <v>0</v>
      </c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52">
        <f t="shared" si="2"/>
        <v>0</v>
      </c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52">
        <f t="shared" si="3"/>
        <v>0</v>
      </c>
      <c r="AL55" s="45">
        <f t="shared" si="4"/>
        <v>0</v>
      </c>
      <c r="AM55" s="45">
        <f t="shared" si="5"/>
        <v>0</v>
      </c>
      <c r="AN55" s="45" t="str">
        <f t="shared" si="6"/>
        <v>#DIV/0!</v>
      </c>
      <c r="AP55" s="45">
        <f t="shared" si="7"/>
        <v>0</v>
      </c>
      <c r="AQ55" s="45">
        <f t="shared" si="8"/>
        <v>0</v>
      </c>
      <c r="AR55" s="45" t="str">
        <f t="shared" si="9"/>
        <v>#DIV/0!</v>
      </c>
      <c r="AT55" s="45">
        <f t="shared" si="10"/>
        <v>0</v>
      </c>
      <c r="AU55" s="45">
        <f t="shared" si="11"/>
        <v>0</v>
      </c>
      <c r="AV55" s="45" t="str">
        <f t="shared" si="12"/>
        <v>#DIV/0!</v>
      </c>
      <c r="AX55" s="45">
        <f t="shared" si="13"/>
        <v>0</v>
      </c>
      <c r="AY55" s="45">
        <f t="shared" si="14"/>
        <v>0</v>
      </c>
      <c r="AZ55" s="45" t="str">
        <f t="shared" si="15"/>
        <v>#DIV/0!</v>
      </c>
      <c r="BB55" s="45">
        <f t="shared" si="16"/>
        <v>0</v>
      </c>
      <c r="BC55" s="45">
        <f t="shared" si="17"/>
        <v>0</v>
      </c>
      <c r="BD55" s="45" t="str">
        <f t="shared" si="18"/>
        <v>#DIV/0!</v>
      </c>
    </row>
    <row r="56" ht="15.75" customHeight="1">
      <c r="A56" s="52">
        <v>46.0</v>
      </c>
      <c r="B56" s="167" t="str">
        <f>'IA Test only'!B57</f>
        <v/>
      </c>
      <c r="C56" s="168" t="str">
        <f>'IA Test only'!C57</f>
        <v/>
      </c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53">
        <f t="shared" si="1"/>
        <v>0</v>
      </c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52">
        <f t="shared" si="2"/>
        <v>0</v>
      </c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52">
        <f t="shared" si="3"/>
        <v>0</v>
      </c>
      <c r="AL56" s="45">
        <f t="shared" si="4"/>
        <v>0</v>
      </c>
      <c r="AM56" s="45">
        <f t="shared" si="5"/>
        <v>0</v>
      </c>
      <c r="AN56" s="45" t="str">
        <f t="shared" si="6"/>
        <v>#DIV/0!</v>
      </c>
      <c r="AP56" s="45">
        <f t="shared" si="7"/>
        <v>0</v>
      </c>
      <c r="AQ56" s="45">
        <f t="shared" si="8"/>
        <v>0</v>
      </c>
      <c r="AR56" s="45" t="str">
        <f t="shared" si="9"/>
        <v>#DIV/0!</v>
      </c>
      <c r="AT56" s="45">
        <f t="shared" si="10"/>
        <v>0</v>
      </c>
      <c r="AU56" s="45">
        <f t="shared" si="11"/>
        <v>0</v>
      </c>
      <c r="AV56" s="45" t="str">
        <f t="shared" si="12"/>
        <v>#DIV/0!</v>
      </c>
      <c r="AX56" s="45">
        <f t="shared" si="13"/>
        <v>0</v>
      </c>
      <c r="AY56" s="45">
        <f t="shared" si="14"/>
        <v>0</v>
      </c>
      <c r="AZ56" s="45" t="str">
        <f t="shared" si="15"/>
        <v>#DIV/0!</v>
      </c>
      <c r="BB56" s="45">
        <f t="shared" si="16"/>
        <v>0</v>
      </c>
      <c r="BC56" s="45">
        <f t="shared" si="17"/>
        <v>0</v>
      </c>
      <c r="BD56" s="45" t="str">
        <f t="shared" si="18"/>
        <v>#DIV/0!</v>
      </c>
    </row>
    <row r="57" ht="15.75" customHeight="1">
      <c r="A57" s="52">
        <v>47.0</v>
      </c>
      <c r="B57" s="167" t="str">
        <f>'IA Test only'!B58</f>
        <v/>
      </c>
      <c r="C57" s="168" t="str">
        <f>'IA Test only'!C58</f>
        <v/>
      </c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53">
        <f t="shared" si="1"/>
        <v>0</v>
      </c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52">
        <f t="shared" si="2"/>
        <v>0</v>
      </c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52">
        <f t="shared" si="3"/>
        <v>0</v>
      </c>
      <c r="AL57" s="45">
        <f t="shared" si="4"/>
        <v>0</v>
      </c>
      <c r="AM57" s="45">
        <f t="shared" si="5"/>
        <v>0</v>
      </c>
      <c r="AN57" s="45" t="str">
        <f t="shared" si="6"/>
        <v>#DIV/0!</v>
      </c>
      <c r="AP57" s="45">
        <f t="shared" si="7"/>
        <v>0</v>
      </c>
      <c r="AQ57" s="45">
        <f t="shared" si="8"/>
        <v>0</v>
      </c>
      <c r="AR57" s="45" t="str">
        <f t="shared" si="9"/>
        <v>#DIV/0!</v>
      </c>
      <c r="AT57" s="45">
        <f t="shared" si="10"/>
        <v>0</v>
      </c>
      <c r="AU57" s="45">
        <f t="shared" si="11"/>
        <v>0</v>
      </c>
      <c r="AV57" s="45" t="str">
        <f t="shared" si="12"/>
        <v>#DIV/0!</v>
      </c>
      <c r="AX57" s="45">
        <f t="shared" si="13"/>
        <v>0</v>
      </c>
      <c r="AY57" s="45">
        <f t="shared" si="14"/>
        <v>0</v>
      </c>
      <c r="AZ57" s="45" t="str">
        <f t="shared" si="15"/>
        <v>#DIV/0!</v>
      </c>
      <c r="BB57" s="45">
        <f t="shared" si="16"/>
        <v>0</v>
      </c>
      <c r="BC57" s="45">
        <f t="shared" si="17"/>
        <v>0</v>
      </c>
      <c r="BD57" s="45" t="str">
        <f t="shared" si="18"/>
        <v>#DIV/0!</v>
      </c>
    </row>
    <row r="58" ht="15.75" customHeight="1">
      <c r="A58" s="52">
        <v>48.0</v>
      </c>
      <c r="B58" s="167" t="str">
        <f>'IA Test only'!B59</f>
        <v/>
      </c>
      <c r="C58" s="168" t="str">
        <f>'IA Test only'!C59</f>
        <v/>
      </c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53">
        <f t="shared" si="1"/>
        <v>0</v>
      </c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52">
        <f t="shared" si="2"/>
        <v>0</v>
      </c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52">
        <f t="shared" si="3"/>
        <v>0</v>
      </c>
      <c r="AL58" s="45">
        <f t="shared" si="4"/>
        <v>0</v>
      </c>
      <c r="AM58" s="45">
        <f t="shared" si="5"/>
        <v>0</v>
      </c>
      <c r="AN58" s="45" t="str">
        <f t="shared" si="6"/>
        <v>#DIV/0!</v>
      </c>
      <c r="AP58" s="45">
        <f t="shared" si="7"/>
        <v>0</v>
      </c>
      <c r="AQ58" s="45">
        <f t="shared" si="8"/>
        <v>0</v>
      </c>
      <c r="AR58" s="45" t="str">
        <f t="shared" si="9"/>
        <v>#DIV/0!</v>
      </c>
      <c r="AT58" s="45">
        <f t="shared" si="10"/>
        <v>0</v>
      </c>
      <c r="AU58" s="45">
        <f t="shared" si="11"/>
        <v>0</v>
      </c>
      <c r="AV58" s="45" t="str">
        <f t="shared" si="12"/>
        <v>#DIV/0!</v>
      </c>
      <c r="AX58" s="45">
        <f t="shared" si="13"/>
        <v>0</v>
      </c>
      <c r="AY58" s="45">
        <f t="shared" si="14"/>
        <v>0</v>
      </c>
      <c r="AZ58" s="45" t="str">
        <f t="shared" si="15"/>
        <v>#DIV/0!</v>
      </c>
      <c r="BB58" s="45">
        <f t="shared" si="16"/>
        <v>0</v>
      </c>
      <c r="BC58" s="45">
        <f t="shared" si="17"/>
        <v>0</v>
      </c>
      <c r="BD58" s="45" t="str">
        <f t="shared" si="18"/>
        <v>#DIV/0!</v>
      </c>
    </row>
    <row r="59" ht="15.75" customHeight="1">
      <c r="A59" s="52">
        <v>49.0</v>
      </c>
      <c r="B59" s="167" t="str">
        <f>'IA Test only'!B60</f>
        <v/>
      </c>
      <c r="C59" s="168" t="str">
        <f>'IA Test only'!C60</f>
        <v/>
      </c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53">
        <f t="shared" si="1"/>
        <v>0</v>
      </c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52">
        <f t="shared" si="2"/>
        <v>0</v>
      </c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52">
        <f t="shared" si="3"/>
        <v>0</v>
      </c>
      <c r="AL59" s="45">
        <f t="shared" si="4"/>
        <v>0</v>
      </c>
      <c r="AM59" s="45">
        <f t="shared" si="5"/>
        <v>0</v>
      </c>
      <c r="AN59" s="45" t="str">
        <f t="shared" si="6"/>
        <v>#DIV/0!</v>
      </c>
      <c r="AP59" s="45">
        <f t="shared" si="7"/>
        <v>0</v>
      </c>
      <c r="AQ59" s="45">
        <f t="shared" si="8"/>
        <v>0</v>
      </c>
      <c r="AR59" s="45" t="str">
        <f t="shared" si="9"/>
        <v>#DIV/0!</v>
      </c>
      <c r="AT59" s="45">
        <f t="shared" si="10"/>
        <v>0</v>
      </c>
      <c r="AU59" s="45">
        <f t="shared" si="11"/>
        <v>0</v>
      </c>
      <c r="AV59" s="45" t="str">
        <f t="shared" si="12"/>
        <v>#DIV/0!</v>
      </c>
      <c r="AX59" s="45">
        <f t="shared" si="13"/>
        <v>0</v>
      </c>
      <c r="AY59" s="45">
        <f t="shared" si="14"/>
        <v>0</v>
      </c>
      <c r="AZ59" s="45" t="str">
        <f t="shared" si="15"/>
        <v>#DIV/0!</v>
      </c>
      <c r="BB59" s="45">
        <f t="shared" si="16"/>
        <v>0</v>
      </c>
      <c r="BC59" s="45">
        <f t="shared" si="17"/>
        <v>0</v>
      </c>
      <c r="BD59" s="45" t="str">
        <f t="shared" si="18"/>
        <v>#DIV/0!</v>
      </c>
    </row>
    <row r="60" ht="15.75" customHeight="1">
      <c r="A60" s="52">
        <v>50.0</v>
      </c>
      <c r="B60" s="167" t="str">
        <f>'IA Test only'!B61</f>
        <v/>
      </c>
      <c r="C60" s="168" t="str">
        <f>'IA Test only'!C61</f>
        <v/>
      </c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53">
        <f t="shared" si="1"/>
        <v>0</v>
      </c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52">
        <f t="shared" si="2"/>
        <v>0</v>
      </c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52">
        <f t="shared" si="3"/>
        <v>0</v>
      </c>
      <c r="AL60" s="45">
        <f t="shared" si="4"/>
        <v>0</v>
      </c>
      <c r="AM60" s="45">
        <f t="shared" si="5"/>
        <v>0</v>
      </c>
      <c r="AN60" s="45" t="str">
        <f t="shared" si="6"/>
        <v>#DIV/0!</v>
      </c>
      <c r="AP60" s="45">
        <f t="shared" si="7"/>
        <v>0</v>
      </c>
      <c r="AQ60" s="45">
        <f t="shared" si="8"/>
        <v>0</v>
      </c>
      <c r="AR60" s="45" t="str">
        <f t="shared" si="9"/>
        <v>#DIV/0!</v>
      </c>
      <c r="AT60" s="45">
        <f t="shared" si="10"/>
        <v>0</v>
      </c>
      <c r="AU60" s="45">
        <f t="shared" si="11"/>
        <v>0</v>
      </c>
      <c r="AV60" s="45" t="str">
        <f t="shared" si="12"/>
        <v>#DIV/0!</v>
      </c>
      <c r="AX60" s="45">
        <f t="shared" si="13"/>
        <v>0</v>
      </c>
      <c r="AY60" s="45">
        <f t="shared" si="14"/>
        <v>0</v>
      </c>
      <c r="AZ60" s="45" t="str">
        <f t="shared" si="15"/>
        <v>#DIV/0!</v>
      </c>
      <c r="BB60" s="45">
        <f t="shared" si="16"/>
        <v>0</v>
      </c>
      <c r="BC60" s="45">
        <f t="shared" si="17"/>
        <v>0</v>
      </c>
      <c r="BD60" s="45" t="str">
        <f t="shared" si="18"/>
        <v>#DIV/0!</v>
      </c>
    </row>
    <row r="61" ht="15.75" customHeight="1">
      <c r="A61" s="52">
        <v>51.0</v>
      </c>
      <c r="B61" s="167" t="str">
        <f>'IA Test only'!B62</f>
        <v/>
      </c>
      <c r="C61" s="168" t="str">
        <f>'IA Test only'!C62</f>
        <v/>
      </c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53">
        <f t="shared" si="1"/>
        <v>0</v>
      </c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52">
        <f t="shared" si="2"/>
        <v>0</v>
      </c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52">
        <f t="shared" si="3"/>
        <v>0</v>
      </c>
      <c r="AL61" s="45">
        <f t="shared" si="4"/>
        <v>0</v>
      </c>
      <c r="AM61" s="45">
        <f t="shared" si="5"/>
        <v>0</v>
      </c>
      <c r="AN61" s="45" t="str">
        <f t="shared" si="6"/>
        <v>#DIV/0!</v>
      </c>
      <c r="AP61" s="45">
        <f t="shared" si="7"/>
        <v>0</v>
      </c>
      <c r="AQ61" s="45">
        <f t="shared" si="8"/>
        <v>0</v>
      </c>
      <c r="AR61" s="45" t="str">
        <f t="shared" si="9"/>
        <v>#DIV/0!</v>
      </c>
      <c r="AT61" s="45">
        <f t="shared" si="10"/>
        <v>0</v>
      </c>
      <c r="AU61" s="45">
        <f t="shared" si="11"/>
        <v>0</v>
      </c>
      <c r="AV61" s="45" t="str">
        <f t="shared" si="12"/>
        <v>#DIV/0!</v>
      </c>
      <c r="AX61" s="45">
        <f t="shared" si="13"/>
        <v>0</v>
      </c>
      <c r="AY61" s="45">
        <f t="shared" si="14"/>
        <v>0</v>
      </c>
      <c r="AZ61" s="45" t="str">
        <f t="shared" si="15"/>
        <v>#DIV/0!</v>
      </c>
      <c r="BB61" s="45">
        <f t="shared" si="16"/>
        <v>0</v>
      </c>
      <c r="BC61" s="45">
        <f t="shared" si="17"/>
        <v>0</v>
      </c>
      <c r="BD61" s="45" t="str">
        <f t="shared" si="18"/>
        <v>#DIV/0!</v>
      </c>
    </row>
    <row r="62" ht="15.75" customHeight="1">
      <c r="A62" s="52">
        <v>52.0</v>
      </c>
      <c r="B62" s="167" t="str">
        <f>'IA Test only'!B63</f>
        <v/>
      </c>
      <c r="C62" s="168" t="str">
        <f>'IA Test only'!C63</f>
        <v/>
      </c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53">
        <f t="shared" si="1"/>
        <v>0</v>
      </c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52">
        <f t="shared" si="2"/>
        <v>0</v>
      </c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52">
        <f t="shared" si="3"/>
        <v>0</v>
      </c>
      <c r="AL62" s="45">
        <f t="shared" si="4"/>
        <v>0</v>
      </c>
      <c r="AM62" s="45">
        <f t="shared" si="5"/>
        <v>0</v>
      </c>
      <c r="AN62" s="45" t="str">
        <f t="shared" si="6"/>
        <v>#DIV/0!</v>
      </c>
      <c r="AP62" s="45">
        <f t="shared" si="7"/>
        <v>0</v>
      </c>
      <c r="AQ62" s="45">
        <f t="shared" si="8"/>
        <v>0</v>
      </c>
      <c r="AR62" s="45" t="str">
        <f t="shared" si="9"/>
        <v>#DIV/0!</v>
      </c>
      <c r="AT62" s="45">
        <f t="shared" si="10"/>
        <v>0</v>
      </c>
      <c r="AU62" s="45">
        <f t="shared" si="11"/>
        <v>0</v>
      </c>
      <c r="AV62" s="45" t="str">
        <f t="shared" si="12"/>
        <v>#DIV/0!</v>
      </c>
      <c r="AX62" s="45">
        <f t="shared" si="13"/>
        <v>0</v>
      </c>
      <c r="AY62" s="45">
        <f t="shared" si="14"/>
        <v>0</v>
      </c>
      <c r="AZ62" s="45" t="str">
        <f t="shared" si="15"/>
        <v>#DIV/0!</v>
      </c>
      <c r="BB62" s="45">
        <f t="shared" si="16"/>
        <v>0</v>
      </c>
      <c r="BC62" s="45">
        <f t="shared" si="17"/>
        <v>0</v>
      </c>
      <c r="BD62" s="45" t="str">
        <f t="shared" si="18"/>
        <v>#DIV/0!</v>
      </c>
    </row>
    <row r="63" ht="15.75" customHeight="1">
      <c r="A63" s="52">
        <v>53.0</v>
      </c>
      <c r="B63" s="167" t="str">
        <f>'IA Test only'!B64</f>
        <v/>
      </c>
      <c r="C63" s="168" t="str">
        <f>'IA Test only'!C64</f>
        <v/>
      </c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53">
        <f t="shared" si="1"/>
        <v>0</v>
      </c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52">
        <f t="shared" si="2"/>
        <v>0</v>
      </c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52">
        <f t="shared" si="3"/>
        <v>0</v>
      </c>
      <c r="AL63" s="45">
        <f t="shared" si="4"/>
        <v>0</v>
      </c>
      <c r="AM63" s="45">
        <f t="shared" si="5"/>
        <v>0</v>
      </c>
      <c r="AN63" s="45" t="str">
        <f t="shared" si="6"/>
        <v>#DIV/0!</v>
      </c>
      <c r="AP63" s="45">
        <f t="shared" si="7"/>
        <v>0</v>
      </c>
      <c r="AQ63" s="45">
        <f t="shared" si="8"/>
        <v>0</v>
      </c>
      <c r="AR63" s="45" t="str">
        <f t="shared" si="9"/>
        <v>#DIV/0!</v>
      </c>
      <c r="AT63" s="45">
        <f t="shared" si="10"/>
        <v>0</v>
      </c>
      <c r="AU63" s="45">
        <f t="shared" si="11"/>
        <v>0</v>
      </c>
      <c r="AV63" s="45" t="str">
        <f t="shared" si="12"/>
        <v>#DIV/0!</v>
      </c>
      <c r="AX63" s="45">
        <f t="shared" si="13"/>
        <v>0</v>
      </c>
      <c r="AY63" s="45">
        <f t="shared" si="14"/>
        <v>0</v>
      </c>
      <c r="AZ63" s="45" t="str">
        <f t="shared" si="15"/>
        <v>#DIV/0!</v>
      </c>
      <c r="BB63" s="45">
        <f t="shared" si="16"/>
        <v>0</v>
      </c>
      <c r="BC63" s="45">
        <f t="shared" si="17"/>
        <v>0</v>
      </c>
      <c r="BD63" s="45" t="str">
        <f t="shared" si="18"/>
        <v>#DIV/0!</v>
      </c>
    </row>
    <row r="64" ht="15.75" customHeight="1">
      <c r="A64" s="52">
        <v>54.0</v>
      </c>
      <c r="B64" s="167" t="str">
        <f>'IA Test only'!B65</f>
        <v/>
      </c>
      <c r="C64" s="168" t="str">
        <f>'IA Test only'!C65</f>
        <v/>
      </c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53">
        <f t="shared" si="1"/>
        <v>0</v>
      </c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52">
        <f t="shared" si="2"/>
        <v>0</v>
      </c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52">
        <f t="shared" si="3"/>
        <v>0</v>
      </c>
      <c r="AL64" s="45">
        <f t="shared" si="4"/>
        <v>0</v>
      </c>
      <c r="AM64" s="45">
        <f t="shared" si="5"/>
        <v>0</v>
      </c>
      <c r="AN64" s="45" t="str">
        <f t="shared" si="6"/>
        <v>#DIV/0!</v>
      </c>
      <c r="AP64" s="45">
        <f t="shared" si="7"/>
        <v>0</v>
      </c>
      <c r="AQ64" s="45">
        <f t="shared" si="8"/>
        <v>0</v>
      </c>
      <c r="AR64" s="45" t="str">
        <f t="shared" si="9"/>
        <v>#DIV/0!</v>
      </c>
      <c r="AT64" s="45">
        <f t="shared" si="10"/>
        <v>0</v>
      </c>
      <c r="AU64" s="45">
        <f t="shared" si="11"/>
        <v>0</v>
      </c>
      <c r="AV64" s="45" t="str">
        <f t="shared" si="12"/>
        <v>#DIV/0!</v>
      </c>
      <c r="AX64" s="45">
        <f t="shared" si="13"/>
        <v>0</v>
      </c>
      <c r="AY64" s="45">
        <f t="shared" si="14"/>
        <v>0</v>
      </c>
      <c r="AZ64" s="45" t="str">
        <f t="shared" si="15"/>
        <v>#DIV/0!</v>
      </c>
      <c r="BB64" s="45">
        <f t="shared" si="16"/>
        <v>0</v>
      </c>
      <c r="BC64" s="45">
        <f t="shared" si="17"/>
        <v>0</v>
      </c>
      <c r="BD64" s="45" t="str">
        <f t="shared" si="18"/>
        <v>#DIV/0!</v>
      </c>
    </row>
    <row r="65" ht="15.75" customHeight="1">
      <c r="A65" s="52">
        <v>55.0</v>
      </c>
      <c r="B65" s="167" t="str">
        <f>'IA Test only'!B66</f>
        <v/>
      </c>
      <c r="C65" s="168" t="str">
        <f>'IA Test only'!C66</f>
        <v/>
      </c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53">
        <f t="shared" si="1"/>
        <v>0</v>
      </c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52">
        <f t="shared" si="2"/>
        <v>0</v>
      </c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52">
        <f t="shared" si="3"/>
        <v>0</v>
      </c>
      <c r="AL65" s="45">
        <f t="shared" si="4"/>
        <v>0</v>
      </c>
      <c r="AM65" s="45">
        <f t="shared" si="5"/>
        <v>0</v>
      </c>
      <c r="AN65" s="45" t="str">
        <f t="shared" si="6"/>
        <v>#DIV/0!</v>
      </c>
      <c r="AP65" s="45">
        <f t="shared" si="7"/>
        <v>0</v>
      </c>
      <c r="AQ65" s="45">
        <f t="shared" si="8"/>
        <v>0</v>
      </c>
      <c r="AR65" s="45" t="str">
        <f t="shared" si="9"/>
        <v>#DIV/0!</v>
      </c>
      <c r="AT65" s="45">
        <f t="shared" si="10"/>
        <v>0</v>
      </c>
      <c r="AU65" s="45">
        <f t="shared" si="11"/>
        <v>0</v>
      </c>
      <c r="AV65" s="45" t="str">
        <f t="shared" si="12"/>
        <v>#DIV/0!</v>
      </c>
      <c r="AX65" s="45">
        <f t="shared" si="13"/>
        <v>0</v>
      </c>
      <c r="AY65" s="45">
        <f t="shared" si="14"/>
        <v>0</v>
      </c>
      <c r="AZ65" s="45" t="str">
        <f t="shared" si="15"/>
        <v>#DIV/0!</v>
      </c>
      <c r="BB65" s="45">
        <f t="shared" si="16"/>
        <v>0</v>
      </c>
      <c r="BC65" s="45">
        <f t="shared" si="17"/>
        <v>0</v>
      </c>
      <c r="BD65" s="45" t="str">
        <f t="shared" si="18"/>
        <v>#DIV/0!</v>
      </c>
    </row>
    <row r="66" ht="15.75" customHeight="1">
      <c r="A66" s="52">
        <v>56.0</v>
      </c>
      <c r="B66" s="167" t="str">
        <f>'IA Test only'!B67</f>
        <v/>
      </c>
      <c r="C66" s="168" t="str">
        <f>'IA Test only'!C67</f>
        <v/>
      </c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53">
        <f t="shared" si="1"/>
        <v>0</v>
      </c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52">
        <f t="shared" si="2"/>
        <v>0</v>
      </c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52">
        <f t="shared" si="3"/>
        <v>0</v>
      </c>
      <c r="AL66" s="45">
        <f t="shared" si="4"/>
        <v>0</v>
      </c>
      <c r="AM66" s="45">
        <f t="shared" si="5"/>
        <v>0</v>
      </c>
      <c r="AN66" s="45" t="str">
        <f t="shared" si="6"/>
        <v>#DIV/0!</v>
      </c>
      <c r="AP66" s="45">
        <f t="shared" si="7"/>
        <v>0</v>
      </c>
      <c r="AQ66" s="45">
        <f t="shared" si="8"/>
        <v>0</v>
      </c>
      <c r="AR66" s="45" t="str">
        <f t="shared" si="9"/>
        <v>#DIV/0!</v>
      </c>
      <c r="AT66" s="45">
        <f t="shared" si="10"/>
        <v>0</v>
      </c>
      <c r="AU66" s="45">
        <f t="shared" si="11"/>
        <v>0</v>
      </c>
      <c r="AV66" s="45" t="str">
        <f t="shared" si="12"/>
        <v>#DIV/0!</v>
      </c>
      <c r="AX66" s="45">
        <f t="shared" si="13"/>
        <v>0</v>
      </c>
      <c r="AY66" s="45">
        <f t="shared" si="14"/>
        <v>0</v>
      </c>
      <c r="AZ66" s="45" t="str">
        <f t="shared" si="15"/>
        <v>#DIV/0!</v>
      </c>
      <c r="BB66" s="45">
        <f t="shared" si="16"/>
        <v>0</v>
      </c>
      <c r="BC66" s="45">
        <f t="shared" si="17"/>
        <v>0</v>
      </c>
      <c r="BD66" s="45" t="str">
        <f t="shared" si="18"/>
        <v>#DIV/0!</v>
      </c>
    </row>
    <row r="67" ht="15.75" customHeight="1">
      <c r="A67" s="52">
        <v>57.0</v>
      </c>
      <c r="B67" s="167" t="str">
        <f>'IA Test only'!B68</f>
        <v/>
      </c>
      <c r="C67" s="168" t="str">
        <f>'IA Test only'!C68</f>
        <v/>
      </c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53">
        <f t="shared" si="1"/>
        <v>0</v>
      </c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52">
        <f t="shared" si="2"/>
        <v>0</v>
      </c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52">
        <f t="shared" si="3"/>
        <v>0</v>
      </c>
      <c r="AL67" s="45">
        <f t="shared" si="4"/>
        <v>0</v>
      </c>
      <c r="AM67" s="45">
        <f t="shared" si="5"/>
        <v>0</v>
      </c>
      <c r="AN67" s="45" t="str">
        <f t="shared" si="6"/>
        <v>#DIV/0!</v>
      </c>
      <c r="AP67" s="45">
        <f t="shared" si="7"/>
        <v>0</v>
      </c>
      <c r="AQ67" s="45">
        <f t="shared" si="8"/>
        <v>0</v>
      </c>
      <c r="AR67" s="45" t="str">
        <f t="shared" si="9"/>
        <v>#DIV/0!</v>
      </c>
      <c r="AT67" s="45">
        <f t="shared" si="10"/>
        <v>0</v>
      </c>
      <c r="AU67" s="45">
        <f t="shared" si="11"/>
        <v>0</v>
      </c>
      <c r="AV67" s="45" t="str">
        <f t="shared" si="12"/>
        <v>#DIV/0!</v>
      </c>
      <c r="AX67" s="45">
        <f t="shared" si="13"/>
        <v>0</v>
      </c>
      <c r="AY67" s="45">
        <f t="shared" si="14"/>
        <v>0</v>
      </c>
      <c r="AZ67" s="45" t="str">
        <f t="shared" si="15"/>
        <v>#DIV/0!</v>
      </c>
      <c r="BB67" s="45">
        <f t="shared" si="16"/>
        <v>0</v>
      </c>
      <c r="BC67" s="45">
        <f t="shared" si="17"/>
        <v>0</v>
      </c>
      <c r="BD67" s="45" t="str">
        <f t="shared" si="18"/>
        <v>#DIV/0!</v>
      </c>
    </row>
    <row r="68" ht="15.75" customHeight="1">
      <c r="A68" s="52">
        <v>58.0</v>
      </c>
      <c r="B68" s="167" t="str">
        <f>'IA Test only'!B69</f>
        <v/>
      </c>
      <c r="C68" s="168" t="str">
        <f>'IA Test only'!C69</f>
        <v/>
      </c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53">
        <f t="shared" si="1"/>
        <v>0</v>
      </c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52">
        <f t="shared" si="2"/>
        <v>0</v>
      </c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52">
        <f t="shared" si="3"/>
        <v>0</v>
      </c>
      <c r="AL68" s="45">
        <f t="shared" si="4"/>
        <v>0</v>
      </c>
      <c r="AM68" s="45">
        <f t="shared" si="5"/>
        <v>0</v>
      </c>
      <c r="AN68" s="45" t="str">
        <f t="shared" si="6"/>
        <v>#DIV/0!</v>
      </c>
      <c r="AP68" s="45">
        <f t="shared" si="7"/>
        <v>0</v>
      </c>
      <c r="AQ68" s="45">
        <f t="shared" si="8"/>
        <v>0</v>
      </c>
      <c r="AR68" s="45" t="str">
        <f t="shared" si="9"/>
        <v>#DIV/0!</v>
      </c>
      <c r="AT68" s="45">
        <f t="shared" si="10"/>
        <v>0</v>
      </c>
      <c r="AU68" s="45">
        <f t="shared" si="11"/>
        <v>0</v>
      </c>
      <c r="AV68" s="45" t="str">
        <f t="shared" si="12"/>
        <v>#DIV/0!</v>
      </c>
      <c r="AX68" s="45">
        <f t="shared" si="13"/>
        <v>0</v>
      </c>
      <c r="AY68" s="45">
        <f t="shared" si="14"/>
        <v>0</v>
      </c>
      <c r="AZ68" s="45" t="str">
        <f t="shared" si="15"/>
        <v>#DIV/0!</v>
      </c>
      <c r="BB68" s="45">
        <f t="shared" si="16"/>
        <v>0</v>
      </c>
      <c r="BC68" s="45">
        <f t="shared" si="17"/>
        <v>0</v>
      </c>
      <c r="BD68" s="45" t="str">
        <f t="shared" si="18"/>
        <v>#DIV/0!</v>
      </c>
    </row>
    <row r="69" ht="15.75" customHeight="1">
      <c r="A69" s="52">
        <v>59.0</v>
      </c>
      <c r="B69" s="167" t="str">
        <f>'IA Test only'!B70</f>
        <v/>
      </c>
      <c r="C69" s="168" t="str">
        <f>'IA Test only'!C70</f>
        <v/>
      </c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53">
        <f t="shared" si="1"/>
        <v>0</v>
      </c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52">
        <f t="shared" si="2"/>
        <v>0</v>
      </c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52">
        <f t="shared" si="3"/>
        <v>0</v>
      </c>
      <c r="AL69" s="45">
        <f t="shared" si="4"/>
        <v>0</v>
      </c>
      <c r="AM69" s="45">
        <f t="shared" si="5"/>
        <v>0</v>
      </c>
      <c r="AN69" s="45" t="str">
        <f t="shared" si="6"/>
        <v>#DIV/0!</v>
      </c>
      <c r="AP69" s="45">
        <f t="shared" si="7"/>
        <v>0</v>
      </c>
      <c r="AQ69" s="45">
        <f t="shared" si="8"/>
        <v>0</v>
      </c>
      <c r="AR69" s="45" t="str">
        <f t="shared" si="9"/>
        <v>#DIV/0!</v>
      </c>
      <c r="AT69" s="45">
        <f t="shared" si="10"/>
        <v>0</v>
      </c>
      <c r="AU69" s="45">
        <f t="shared" si="11"/>
        <v>0</v>
      </c>
      <c r="AV69" s="45" t="str">
        <f t="shared" si="12"/>
        <v>#DIV/0!</v>
      </c>
      <c r="AX69" s="45">
        <f t="shared" si="13"/>
        <v>0</v>
      </c>
      <c r="AY69" s="45">
        <f t="shared" si="14"/>
        <v>0</v>
      </c>
      <c r="AZ69" s="45" t="str">
        <f t="shared" si="15"/>
        <v>#DIV/0!</v>
      </c>
      <c r="BB69" s="45">
        <f t="shared" si="16"/>
        <v>0</v>
      </c>
      <c r="BC69" s="45">
        <f t="shared" si="17"/>
        <v>0</v>
      </c>
      <c r="BD69" s="45" t="str">
        <f t="shared" si="18"/>
        <v>#DIV/0!</v>
      </c>
    </row>
    <row r="70" ht="15.75" customHeight="1">
      <c r="A70" s="52">
        <v>60.0</v>
      </c>
      <c r="B70" s="167" t="str">
        <f>'IA Test only'!B71</f>
        <v/>
      </c>
      <c r="C70" s="168" t="str">
        <f>'IA Test only'!C71</f>
        <v/>
      </c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53">
        <f t="shared" si="1"/>
        <v>0</v>
      </c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52">
        <f t="shared" si="2"/>
        <v>0</v>
      </c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52">
        <f t="shared" si="3"/>
        <v>0</v>
      </c>
      <c r="AL70" s="45">
        <f t="shared" si="4"/>
        <v>0</v>
      </c>
      <c r="AM70" s="45">
        <f t="shared" si="5"/>
        <v>0</v>
      </c>
      <c r="AN70" s="45" t="str">
        <f t="shared" si="6"/>
        <v>#DIV/0!</v>
      </c>
      <c r="AP70" s="45">
        <f t="shared" si="7"/>
        <v>0</v>
      </c>
      <c r="AQ70" s="45">
        <f t="shared" si="8"/>
        <v>0</v>
      </c>
      <c r="AR70" s="45" t="str">
        <f t="shared" si="9"/>
        <v>#DIV/0!</v>
      </c>
      <c r="AT70" s="45">
        <f t="shared" si="10"/>
        <v>0</v>
      </c>
      <c r="AU70" s="45">
        <f t="shared" si="11"/>
        <v>0</v>
      </c>
      <c r="AV70" s="45" t="str">
        <f t="shared" si="12"/>
        <v>#DIV/0!</v>
      </c>
      <c r="AX70" s="45">
        <f t="shared" si="13"/>
        <v>0</v>
      </c>
      <c r="AY70" s="45">
        <f t="shared" si="14"/>
        <v>0</v>
      </c>
      <c r="AZ70" s="45" t="str">
        <f t="shared" si="15"/>
        <v>#DIV/0!</v>
      </c>
      <c r="BB70" s="45">
        <f t="shared" si="16"/>
        <v>0</v>
      </c>
      <c r="BC70" s="45">
        <f t="shared" si="17"/>
        <v>0</v>
      </c>
      <c r="BD70" s="45" t="str">
        <f t="shared" si="18"/>
        <v>#DIV/0!</v>
      </c>
    </row>
    <row r="71" ht="15.75" customHeight="1">
      <c r="A71" s="52">
        <v>61.0</v>
      </c>
      <c r="B71" s="167" t="str">
        <f>'IA Test only'!B72</f>
        <v/>
      </c>
      <c r="C71" s="168" t="str">
        <f>'IA Test only'!C72</f>
        <v/>
      </c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53">
        <f t="shared" si="1"/>
        <v>0</v>
      </c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52">
        <f t="shared" si="2"/>
        <v>0</v>
      </c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52">
        <f t="shared" si="3"/>
        <v>0</v>
      </c>
      <c r="AL71" s="45">
        <f t="shared" si="4"/>
        <v>0</v>
      </c>
      <c r="AM71" s="45">
        <f t="shared" si="5"/>
        <v>0</v>
      </c>
      <c r="AN71" s="45" t="str">
        <f t="shared" si="6"/>
        <v>#DIV/0!</v>
      </c>
      <c r="AP71" s="45">
        <f t="shared" si="7"/>
        <v>0</v>
      </c>
      <c r="AQ71" s="45">
        <f t="shared" si="8"/>
        <v>0</v>
      </c>
      <c r="AR71" s="45" t="str">
        <f t="shared" si="9"/>
        <v>#DIV/0!</v>
      </c>
      <c r="AT71" s="45">
        <f t="shared" si="10"/>
        <v>0</v>
      </c>
      <c r="AU71" s="45">
        <f t="shared" si="11"/>
        <v>0</v>
      </c>
      <c r="AV71" s="45" t="str">
        <f t="shared" si="12"/>
        <v>#DIV/0!</v>
      </c>
      <c r="AX71" s="45">
        <f t="shared" si="13"/>
        <v>0</v>
      </c>
      <c r="AY71" s="45">
        <f t="shared" si="14"/>
        <v>0</v>
      </c>
      <c r="AZ71" s="45" t="str">
        <f t="shared" si="15"/>
        <v>#DIV/0!</v>
      </c>
      <c r="BB71" s="45">
        <f t="shared" si="16"/>
        <v>0</v>
      </c>
      <c r="BC71" s="45">
        <f t="shared" si="17"/>
        <v>0</v>
      </c>
      <c r="BD71" s="45" t="str">
        <f t="shared" si="18"/>
        <v>#DIV/0!</v>
      </c>
    </row>
    <row r="72" ht="15.75" customHeight="1">
      <c r="A72" s="52">
        <v>62.0</v>
      </c>
      <c r="B72" s="167" t="str">
        <f>'IA Test only'!B73</f>
        <v/>
      </c>
      <c r="C72" s="168" t="str">
        <f>'IA Test only'!C73</f>
        <v/>
      </c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53">
        <f t="shared" si="1"/>
        <v>0</v>
      </c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52">
        <f t="shared" si="2"/>
        <v>0</v>
      </c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52">
        <f t="shared" si="3"/>
        <v>0</v>
      </c>
      <c r="AL72" s="45">
        <f t="shared" si="4"/>
        <v>0</v>
      </c>
      <c r="AM72" s="45">
        <f t="shared" si="5"/>
        <v>0</v>
      </c>
      <c r="AN72" s="45" t="str">
        <f t="shared" si="6"/>
        <v>#DIV/0!</v>
      </c>
      <c r="AP72" s="45">
        <f t="shared" si="7"/>
        <v>0</v>
      </c>
      <c r="AQ72" s="45">
        <f t="shared" si="8"/>
        <v>0</v>
      </c>
      <c r="AR72" s="45" t="str">
        <f t="shared" si="9"/>
        <v>#DIV/0!</v>
      </c>
      <c r="AT72" s="45">
        <f t="shared" si="10"/>
        <v>0</v>
      </c>
      <c r="AU72" s="45">
        <f t="shared" si="11"/>
        <v>0</v>
      </c>
      <c r="AV72" s="45" t="str">
        <f t="shared" si="12"/>
        <v>#DIV/0!</v>
      </c>
      <c r="AX72" s="45">
        <f t="shared" si="13"/>
        <v>0</v>
      </c>
      <c r="AY72" s="45">
        <f t="shared" si="14"/>
        <v>0</v>
      </c>
      <c r="AZ72" s="45" t="str">
        <f t="shared" si="15"/>
        <v>#DIV/0!</v>
      </c>
      <c r="BB72" s="45">
        <f t="shared" si="16"/>
        <v>0</v>
      </c>
      <c r="BC72" s="45">
        <f t="shared" si="17"/>
        <v>0</v>
      </c>
      <c r="BD72" s="45" t="str">
        <f t="shared" si="18"/>
        <v>#DIV/0!</v>
      </c>
    </row>
    <row r="73" ht="15.75" customHeight="1">
      <c r="A73" s="52">
        <v>63.0</v>
      </c>
      <c r="B73" s="167" t="str">
        <f>'IA Test only'!B74</f>
        <v/>
      </c>
      <c r="C73" s="168" t="str">
        <f>'IA Test only'!C74</f>
        <v/>
      </c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53">
        <f t="shared" si="1"/>
        <v>0</v>
      </c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52">
        <f t="shared" si="2"/>
        <v>0</v>
      </c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52">
        <f t="shared" si="3"/>
        <v>0</v>
      </c>
      <c r="AL73" s="45">
        <f t="shared" si="4"/>
        <v>0</v>
      </c>
      <c r="AM73" s="45">
        <f t="shared" si="5"/>
        <v>0</v>
      </c>
      <c r="AN73" s="45" t="str">
        <f t="shared" si="6"/>
        <v>#DIV/0!</v>
      </c>
      <c r="AP73" s="45">
        <f t="shared" si="7"/>
        <v>0</v>
      </c>
      <c r="AQ73" s="45">
        <f t="shared" si="8"/>
        <v>0</v>
      </c>
      <c r="AR73" s="45" t="str">
        <f t="shared" si="9"/>
        <v>#DIV/0!</v>
      </c>
      <c r="AT73" s="45">
        <f t="shared" si="10"/>
        <v>0</v>
      </c>
      <c r="AU73" s="45">
        <f t="shared" si="11"/>
        <v>0</v>
      </c>
      <c r="AV73" s="45" t="str">
        <f t="shared" si="12"/>
        <v>#DIV/0!</v>
      </c>
      <c r="AX73" s="45">
        <f t="shared" si="13"/>
        <v>0</v>
      </c>
      <c r="AY73" s="45">
        <f t="shared" si="14"/>
        <v>0</v>
      </c>
      <c r="AZ73" s="45" t="str">
        <f t="shared" si="15"/>
        <v>#DIV/0!</v>
      </c>
      <c r="BB73" s="45">
        <f t="shared" si="16"/>
        <v>0</v>
      </c>
      <c r="BC73" s="45">
        <f t="shared" si="17"/>
        <v>0</v>
      </c>
      <c r="BD73" s="45" t="str">
        <f t="shared" si="18"/>
        <v>#DIV/0!</v>
      </c>
    </row>
    <row r="74" ht="15.75" customHeight="1">
      <c r="A74" s="52">
        <v>64.0</v>
      </c>
      <c r="B74" s="167" t="str">
        <f>'IA Test only'!B75</f>
        <v/>
      </c>
      <c r="C74" s="168" t="str">
        <f>'IA Test only'!C75</f>
        <v/>
      </c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53">
        <f t="shared" si="1"/>
        <v>0</v>
      </c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52">
        <f t="shared" si="2"/>
        <v>0</v>
      </c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52">
        <f t="shared" si="3"/>
        <v>0</v>
      </c>
      <c r="AL74" s="45">
        <f t="shared" si="4"/>
        <v>0</v>
      </c>
      <c r="AM74" s="45">
        <f t="shared" si="5"/>
        <v>0</v>
      </c>
      <c r="AN74" s="45" t="str">
        <f t="shared" si="6"/>
        <v>#DIV/0!</v>
      </c>
      <c r="AP74" s="45">
        <f t="shared" si="7"/>
        <v>0</v>
      </c>
      <c r="AQ74" s="45">
        <f t="shared" si="8"/>
        <v>0</v>
      </c>
      <c r="AR74" s="45" t="str">
        <f t="shared" si="9"/>
        <v>#DIV/0!</v>
      </c>
      <c r="AT74" s="45">
        <f t="shared" si="10"/>
        <v>0</v>
      </c>
      <c r="AU74" s="45">
        <f t="shared" si="11"/>
        <v>0</v>
      </c>
      <c r="AV74" s="45" t="str">
        <f t="shared" si="12"/>
        <v>#DIV/0!</v>
      </c>
      <c r="AX74" s="45">
        <f t="shared" si="13"/>
        <v>0</v>
      </c>
      <c r="AY74" s="45">
        <f t="shared" si="14"/>
        <v>0</v>
      </c>
      <c r="AZ74" s="45" t="str">
        <f t="shared" si="15"/>
        <v>#DIV/0!</v>
      </c>
      <c r="BB74" s="45">
        <f t="shared" si="16"/>
        <v>0</v>
      </c>
      <c r="BC74" s="45">
        <f t="shared" si="17"/>
        <v>0</v>
      </c>
      <c r="BD74" s="45" t="str">
        <f t="shared" si="18"/>
        <v>#DIV/0!</v>
      </c>
    </row>
    <row r="75" ht="15.75" customHeight="1">
      <c r="A75" s="52">
        <v>65.0</v>
      </c>
      <c r="B75" s="167" t="str">
        <f>'IA Test only'!B76</f>
        <v/>
      </c>
      <c r="C75" s="168" t="str">
        <f>'IA Test only'!C76</f>
        <v/>
      </c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53">
        <f t="shared" si="1"/>
        <v>0</v>
      </c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52">
        <f t="shared" si="2"/>
        <v>0</v>
      </c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52">
        <f t="shared" si="3"/>
        <v>0</v>
      </c>
      <c r="AL75" s="45">
        <f t="shared" si="4"/>
        <v>0</v>
      </c>
      <c r="AM75" s="45">
        <f t="shared" si="5"/>
        <v>0</v>
      </c>
      <c r="AN75" s="45" t="str">
        <f t="shared" si="6"/>
        <v>#DIV/0!</v>
      </c>
      <c r="AP75" s="45">
        <f t="shared" si="7"/>
        <v>0</v>
      </c>
      <c r="AQ75" s="45">
        <f t="shared" si="8"/>
        <v>0</v>
      </c>
      <c r="AR75" s="45" t="str">
        <f t="shared" si="9"/>
        <v>#DIV/0!</v>
      </c>
      <c r="AT75" s="45">
        <f t="shared" si="10"/>
        <v>0</v>
      </c>
      <c r="AU75" s="45">
        <f t="shared" si="11"/>
        <v>0</v>
      </c>
      <c r="AV75" s="45" t="str">
        <f t="shared" si="12"/>
        <v>#DIV/0!</v>
      </c>
      <c r="AX75" s="45">
        <f t="shared" si="13"/>
        <v>0</v>
      </c>
      <c r="AY75" s="45">
        <f t="shared" si="14"/>
        <v>0</v>
      </c>
      <c r="AZ75" s="45" t="str">
        <f t="shared" si="15"/>
        <v>#DIV/0!</v>
      </c>
      <c r="BB75" s="45">
        <f t="shared" si="16"/>
        <v>0</v>
      </c>
      <c r="BC75" s="45">
        <f t="shared" si="17"/>
        <v>0</v>
      </c>
      <c r="BD75" s="45" t="str">
        <f t="shared" si="18"/>
        <v>#DIV/0!</v>
      </c>
    </row>
    <row r="76" ht="15.75" customHeight="1">
      <c r="A76" s="52">
        <v>66.0</v>
      </c>
      <c r="B76" s="167" t="str">
        <f>'IA Test only'!B77</f>
        <v/>
      </c>
      <c r="C76" s="168" t="str">
        <f>'IA Test only'!C77</f>
        <v/>
      </c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53">
        <f t="shared" si="1"/>
        <v>0</v>
      </c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52">
        <f t="shared" si="2"/>
        <v>0</v>
      </c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52">
        <f t="shared" si="3"/>
        <v>0</v>
      </c>
      <c r="AL76" s="45">
        <f t="shared" si="4"/>
        <v>0</v>
      </c>
      <c r="AM76" s="45">
        <f t="shared" si="5"/>
        <v>0</v>
      </c>
      <c r="AN76" s="45" t="str">
        <f t="shared" si="6"/>
        <v>#DIV/0!</v>
      </c>
      <c r="AP76" s="45">
        <f t="shared" si="7"/>
        <v>0</v>
      </c>
      <c r="AQ76" s="45">
        <f t="shared" si="8"/>
        <v>0</v>
      </c>
      <c r="AR76" s="45" t="str">
        <f t="shared" si="9"/>
        <v>#DIV/0!</v>
      </c>
      <c r="AT76" s="45">
        <f t="shared" si="10"/>
        <v>0</v>
      </c>
      <c r="AU76" s="45">
        <f t="shared" si="11"/>
        <v>0</v>
      </c>
      <c r="AV76" s="45" t="str">
        <f t="shared" si="12"/>
        <v>#DIV/0!</v>
      </c>
      <c r="AX76" s="45">
        <f t="shared" si="13"/>
        <v>0</v>
      </c>
      <c r="AY76" s="45">
        <f t="shared" si="14"/>
        <v>0</v>
      </c>
      <c r="AZ76" s="45" t="str">
        <f t="shared" si="15"/>
        <v>#DIV/0!</v>
      </c>
      <c r="BB76" s="45">
        <f t="shared" si="16"/>
        <v>0</v>
      </c>
      <c r="BC76" s="45">
        <f t="shared" si="17"/>
        <v>0</v>
      </c>
      <c r="BD76" s="45" t="str">
        <f t="shared" si="18"/>
        <v>#DIV/0!</v>
      </c>
    </row>
    <row r="77" ht="15.75" customHeight="1">
      <c r="A77" s="52">
        <v>67.0</v>
      </c>
      <c r="B77" s="167" t="str">
        <f>'IA Test only'!B78</f>
        <v/>
      </c>
      <c r="C77" s="168" t="str">
        <f>'IA Test only'!C78</f>
        <v/>
      </c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53">
        <f t="shared" si="1"/>
        <v>0</v>
      </c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52">
        <f t="shared" si="2"/>
        <v>0</v>
      </c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52">
        <f t="shared" si="3"/>
        <v>0</v>
      </c>
      <c r="AL77" s="45">
        <f t="shared" si="4"/>
        <v>0</v>
      </c>
      <c r="AM77" s="45">
        <f t="shared" si="5"/>
        <v>0</v>
      </c>
      <c r="AN77" s="45" t="str">
        <f t="shared" si="6"/>
        <v>#DIV/0!</v>
      </c>
      <c r="AP77" s="45">
        <f t="shared" si="7"/>
        <v>0</v>
      </c>
      <c r="AQ77" s="45">
        <f t="shared" si="8"/>
        <v>0</v>
      </c>
      <c r="AR77" s="45" t="str">
        <f t="shared" si="9"/>
        <v>#DIV/0!</v>
      </c>
      <c r="AT77" s="45">
        <f t="shared" si="10"/>
        <v>0</v>
      </c>
      <c r="AU77" s="45">
        <f t="shared" si="11"/>
        <v>0</v>
      </c>
      <c r="AV77" s="45" t="str">
        <f t="shared" si="12"/>
        <v>#DIV/0!</v>
      </c>
      <c r="AX77" s="45">
        <f t="shared" si="13"/>
        <v>0</v>
      </c>
      <c r="AY77" s="45">
        <f t="shared" si="14"/>
        <v>0</v>
      </c>
      <c r="AZ77" s="45" t="str">
        <f t="shared" si="15"/>
        <v>#DIV/0!</v>
      </c>
      <c r="BB77" s="45">
        <f t="shared" si="16"/>
        <v>0</v>
      </c>
      <c r="BC77" s="45">
        <f t="shared" si="17"/>
        <v>0</v>
      </c>
      <c r="BD77" s="45" t="str">
        <f t="shared" si="18"/>
        <v>#DIV/0!</v>
      </c>
    </row>
    <row r="78" ht="15.75" customHeight="1">
      <c r="A78" s="52">
        <v>68.0</v>
      </c>
      <c r="B78" s="167" t="str">
        <f>'IA Test only'!B79</f>
        <v/>
      </c>
      <c r="C78" s="168" t="str">
        <f>'IA Test only'!C79</f>
        <v/>
      </c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53">
        <f t="shared" si="1"/>
        <v>0</v>
      </c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52">
        <f t="shared" si="2"/>
        <v>0</v>
      </c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52">
        <f t="shared" si="3"/>
        <v>0</v>
      </c>
      <c r="AL78" s="45">
        <f t="shared" si="4"/>
        <v>0</v>
      </c>
      <c r="AM78" s="45">
        <f t="shared" si="5"/>
        <v>0</v>
      </c>
      <c r="AN78" s="45" t="str">
        <f t="shared" si="6"/>
        <v>#DIV/0!</v>
      </c>
      <c r="AP78" s="45">
        <f t="shared" si="7"/>
        <v>0</v>
      </c>
      <c r="AQ78" s="45">
        <f t="shared" si="8"/>
        <v>0</v>
      </c>
      <c r="AR78" s="45" t="str">
        <f t="shared" si="9"/>
        <v>#DIV/0!</v>
      </c>
      <c r="AT78" s="45">
        <f t="shared" si="10"/>
        <v>0</v>
      </c>
      <c r="AU78" s="45">
        <f t="shared" si="11"/>
        <v>0</v>
      </c>
      <c r="AV78" s="45" t="str">
        <f t="shared" si="12"/>
        <v>#DIV/0!</v>
      </c>
      <c r="AX78" s="45">
        <f t="shared" si="13"/>
        <v>0</v>
      </c>
      <c r="AY78" s="45">
        <f t="shared" si="14"/>
        <v>0</v>
      </c>
      <c r="AZ78" s="45" t="str">
        <f t="shared" si="15"/>
        <v>#DIV/0!</v>
      </c>
      <c r="BB78" s="45">
        <f t="shared" si="16"/>
        <v>0</v>
      </c>
      <c r="BC78" s="45">
        <f t="shared" si="17"/>
        <v>0</v>
      </c>
      <c r="BD78" s="45" t="str">
        <f t="shared" si="18"/>
        <v>#DIV/0!</v>
      </c>
    </row>
    <row r="79" ht="15.75" customHeight="1">
      <c r="A79" s="52">
        <v>69.0</v>
      </c>
      <c r="B79" s="167" t="str">
        <f>'IA Test only'!B80</f>
        <v/>
      </c>
      <c r="C79" s="168" t="str">
        <f>'IA Test only'!C80</f>
        <v/>
      </c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53">
        <f t="shared" si="1"/>
        <v>0</v>
      </c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52">
        <f t="shared" si="2"/>
        <v>0</v>
      </c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52">
        <f t="shared" si="3"/>
        <v>0</v>
      </c>
      <c r="AL79" s="45">
        <f t="shared" si="4"/>
        <v>0</v>
      </c>
      <c r="AM79" s="45">
        <f t="shared" si="5"/>
        <v>0</v>
      </c>
      <c r="AN79" s="45" t="str">
        <f t="shared" si="6"/>
        <v>#DIV/0!</v>
      </c>
      <c r="AP79" s="45">
        <f t="shared" si="7"/>
        <v>0</v>
      </c>
      <c r="AQ79" s="45">
        <f t="shared" si="8"/>
        <v>0</v>
      </c>
      <c r="AR79" s="45" t="str">
        <f t="shared" si="9"/>
        <v>#DIV/0!</v>
      </c>
      <c r="AT79" s="45">
        <f t="shared" si="10"/>
        <v>0</v>
      </c>
      <c r="AU79" s="45">
        <f t="shared" si="11"/>
        <v>0</v>
      </c>
      <c r="AV79" s="45" t="str">
        <f t="shared" si="12"/>
        <v>#DIV/0!</v>
      </c>
      <c r="AX79" s="45">
        <f t="shared" si="13"/>
        <v>0</v>
      </c>
      <c r="AY79" s="45">
        <f t="shared" si="14"/>
        <v>0</v>
      </c>
      <c r="AZ79" s="45" t="str">
        <f t="shared" si="15"/>
        <v>#DIV/0!</v>
      </c>
      <c r="BB79" s="45">
        <f t="shared" si="16"/>
        <v>0</v>
      </c>
      <c r="BC79" s="45">
        <f t="shared" si="17"/>
        <v>0</v>
      </c>
      <c r="BD79" s="45" t="str">
        <f t="shared" si="18"/>
        <v>#DIV/0!</v>
      </c>
    </row>
    <row r="80" ht="15.75" customHeight="1">
      <c r="A80" s="52">
        <v>70.0</v>
      </c>
      <c r="B80" s="167" t="str">
        <f>'IA Test only'!B81</f>
        <v/>
      </c>
      <c r="C80" s="168" t="str">
        <f>'IA Test only'!C81</f>
        <v/>
      </c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53">
        <f t="shared" si="1"/>
        <v>0</v>
      </c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52">
        <f t="shared" si="2"/>
        <v>0</v>
      </c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52">
        <f t="shared" si="3"/>
        <v>0</v>
      </c>
      <c r="AL80" s="45">
        <f t="shared" si="4"/>
        <v>0</v>
      </c>
      <c r="AM80" s="45">
        <f t="shared" si="5"/>
        <v>0</v>
      </c>
      <c r="AN80" s="45" t="str">
        <f t="shared" si="6"/>
        <v>#DIV/0!</v>
      </c>
      <c r="AP80" s="45">
        <f t="shared" si="7"/>
        <v>0</v>
      </c>
      <c r="AQ80" s="45">
        <f t="shared" si="8"/>
        <v>0</v>
      </c>
      <c r="AR80" s="45" t="str">
        <f t="shared" si="9"/>
        <v>#DIV/0!</v>
      </c>
      <c r="AT80" s="45">
        <f t="shared" si="10"/>
        <v>0</v>
      </c>
      <c r="AU80" s="45">
        <f t="shared" si="11"/>
        <v>0</v>
      </c>
      <c r="AV80" s="45" t="str">
        <f t="shared" si="12"/>
        <v>#DIV/0!</v>
      </c>
      <c r="AX80" s="45">
        <f t="shared" si="13"/>
        <v>0</v>
      </c>
      <c r="AY80" s="45">
        <f t="shared" si="14"/>
        <v>0</v>
      </c>
      <c r="AZ80" s="45" t="str">
        <f t="shared" si="15"/>
        <v>#DIV/0!</v>
      </c>
      <c r="BB80" s="45">
        <f t="shared" si="16"/>
        <v>0</v>
      </c>
      <c r="BC80" s="45">
        <f t="shared" si="17"/>
        <v>0</v>
      </c>
      <c r="BD80" s="45" t="str">
        <f t="shared" si="18"/>
        <v>#DIV/0!</v>
      </c>
    </row>
    <row r="81" ht="15.75" customHeight="1">
      <c r="A81" s="52">
        <v>71.0</v>
      </c>
      <c r="B81" s="167" t="str">
        <f>'IA Test only'!B82</f>
        <v/>
      </c>
      <c r="C81" s="168" t="str">
        <f>'IA Test only'!C82</f>
        <v/>
      </c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53">
        <f t="shared" si="1"/>
        <v>0</v>
      </c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52">
        <f t="shared" si="2"/>
        <v>0</v>
      </c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52">
        <f t="shared" si="3"/>
        <v>0</v>
      </c>
      <c r="AL81" s="45">
        <f t="shared" si="4"/>
        <v>0</v>
      </c>
      <c r="AM81" s="45">
        <f t="shared" si="5"/>
        <v>0</v>
      </c>
      <c r="AN81" s="45" t="str">
        <f t="shared" si="6"/>
        <v>#DIV/0!</v>
      </c>
      <c r="AP81" s="45">
        <f t="shared" si="7"/>
        <v>0</v>
      </c>
      <c r="AQ81" s="45">
        <f t="shared" si="8"/>
        <v>0</v>
      </c>
      <c r="AR81" s="45" t="str">
        <f t="shared" si="9"/>
        <v>#DIV/0!</v>
      </c>
      <c r="AT81" s="45">
        <f t="shared" si="10"/>
        <v>0</v>
      </c>
      <c r="AU81" s="45">
        <f t="shared" si="11"/>
        <v>0</v>
      </c>
      <c r="AV81" s="45" t="str">
        <f t="shared" si="12"/>
        <v>#DIV/0!</v>
      </c>
      <c r="AX81" s="45">
        <f t="shared" si="13"/>
        <v>0</v>
      </c>
      <c r="AY81" s="45">
        <f t="shared" si="14"/>
        <v>0</v>
      </c>
      <c r="AZ81" s="45" t="str">
        <f t="shared" si="15"/>
        <v>#DIV/0!</v>
      </c>
      <c r="BB81" s="45">
        <f t="shared" si="16"/>
        <v>0</v>
      </c>
      <c r="BC81" s="45">
        <f t="shared" si="17"/>
        <v>0</v>
      </c>
      <c r="BD81" s="45" t="str">
        <f t="shared" si="18"/>
        <v>#DIV/0!</v>
      </c>
    </row>
    <row r="82" ht="15.75" customHeight="1">
      <c r="A82" s="52">
        <v>72.0</v>
      </c>
      <c r="B82" s="167" t="str">
        <f>'IA Test only'!B83</f>
        <v/>
      </c>
      <c r="C82" s="168" t="str">
        <f>'IA Test only'!C83</f>
        <v/>
      </c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53">
        <f t="shared" si="1"/>
        <v>0</v>
      </c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52">
        <f t="shared" si="2"/>
        <v>0</v>
      </c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52">
        <f t="shared" si="3"/>
        <v>0</v>
      </c>
      <c r="AL82" s="45">
        <f t="shared" si="4"/>
        <v>0</v>
      </c>
      <c r="AM82" s="45">
        <f t="shared" si="5"/>
        <v>0</v>
      </c>
      <c r="AN82" s="45" t="str">
        <f t="shared" si="6"/>
        <v>#DIV/0!</v>
      </c>
      <c r="AP82" s="45">
        <f t="shared" si="7"/>
        <v>0</v>
      </c>
      <c r="AQ82" s="45">
        <f t="shared" si="8"/>
        <v>0</v>
      </c>
      <c r="AR82" s="45" t="str">
        <f t="shared" si="9"/>
        <v>#DIV/0!</v>
      </c>
      <c r="AT82" s="45">
        <f t="shared" si="10"/>
        <v>0</v>
      </c>
      <c r="AU82" s="45">
        <f t="shared" si="11"/>
        <v>0</v>
      </c>
      <c r="AV82" s="45" t="str">
        <f t="shared" si="12"/>
        <v>#DIV/0!</v>
      </c>
      <c r="AX82" s="45">
        <f t="shared" si="13"/>
        <v>0</v>
      </c>
      <c r="AY82" s="45">
        <f t="shared" si="14"/>
        <v>0</v>
      </c>
      <c r="AZ82" s="45" t="str">
        <f t="shared" si="15"/>
        <v>#DIV/0!</v>
      </c>
      <c r="BB82" s="45">
        <f t="shared" si="16"/>
        <v>0</v>
      </c>
      <c r="BC82" s="45">
        <f t="shared" si="17"/>
        <v>0</v>
      </c>
      <c r="BD82" s="45" t="str">
        <f t="shared" si="18"/>
        <v>#DIV/0!</v>
      </c>
    </row>
    <row r="83" ht="15.75" customHeight="1">
      <c r="A83" s="52">
        <v>73.0</v>
      </c>
      <c r="B83" s="167" t="str">
        <f>'IA Test only'!B84</f>
        <v/>
      </c>
      <c r="C83" s="168" t="str">
        <f>'IA Test only'!C84</f>
        <v/>
      </c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53">
        <f t="shared" si="1"/>
        <v>0</v>
      </c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52">
        <f t="shared" si="2"/>
        <v>0</v>
      </c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52">
        <f t="shared" si="3"/>
        <v>0</v>
      </c>
      <c r="AL83" s="45">
        <f t="shared" si="4"/>
        <v>0</v>
      </c>
      <c r="AM83" s="45">
        <f t="shared" si="5"/>
        <v>0</v>
      </c>
      <c r="AN83" s="45" t="str">
        <f t="shared" si="6"/>
        <v>#DIV/0!</v>
      </c>
      <c r="AP83" s="45">
        <f t="shared" si="7"/>
        <v>0</v>
      </c>
      <c r="AQ83" s="45">
        <f t="shared" si="8"/>
        <v>0</v>
      </c>
      <c r="AR83" s="45" t="str">
        <f t="shared" si="9"/>
        <v>#DIV/0!</v>
      </c>
      <c r="AT83" s="45">
        <f t="shared" si="10"/>
        <v>0</v>
      </c>
      <c r="AU83" s="45">
        <f t="shared" si="11"/>
        <v>0</v>
      </c>
      <c r="AV83" s="45" t="str">
        <f t="shared" si="12"/>
        <v>#DIV/0!</v>
      </c>
      <c r="AX83" s="45">
        <f t="shared" si="13"/>
        <v>0</v>
      </c>
      <c r="AY83" s="45">
        <f t="shared" si="14"/>
        <v>0</v>
      </c>
      <c r="AZ83" s="45" t="str">
        <f t="shared" si="15"/>
        <v>#DIV/0!</v>
      </c>
      <c r="BB83" s="45">
        <f t="shared" si="16"/>
        <v>0</v>
      </c>
      <c r="BC83" s="45">
        <f t="shared" si="17"/>
        <v>0</v>
      </c>
      <c r="BD83" s="45" t="str">
        <f t="shared" si="18"/>
        <v>#DIV/0!</v>
      </c>
    </row>
    <row r="84" ht="15.75" customHeight="1">
      <c r="A84" s="52">
        <v>74.0</v>
      </c>
      <c r="B84" s="167" t="str">
        <f>'IA Test only'!B85</f>
        <v/>
      </c>
      <c r="C84" s="168" t="str">
        <f>'IA Test only'!C85</f>
        <v/>
      </c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53">
        <f t="shared" si="1"/>
        <v>0</v>
      </c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52">
        <f t="shared" si="2"/>
        <v>0</v>
      </c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52">
        <f t="shared" si="3"/>
        <v>0</v>
      </c>
      <c r="AL84" s="45">
        <f t="shared" si="4"/>
        <v>0</v>
      </c>
      <c r="AM84" s="45">
        <f t="shared" si="5"/>
        <v>0</v>
      </c>
      <c r="AN84" s="45" t="str">
        <f t="shared" si="6"/>
        <v>#DIV/0!</v>
      </c>
      <c r="AP84" s="45">
        <f t="shared" si="7"/>
        <v>0</v>
      </c>
      <c r="AQ84" s="45">
        <f t="shared" si="8"/>
        <v>0</v>
      </c>
      <c r="AR84" s="45" t="str">
        <f t="shared" si="9"/>
        <v>#DIV/0!</v>
      </c>
      <c r="AT84" s="45">
        <f t="shared" si="10"/>
        <v>0</v>
      </c>
      <c r="AU84" s="45">
        <f t="shared" si="11"/>
        <v>0</v>
      </c>
      <c r="AV84" s="45" t="str">
        <f t="shared" si="12"/>
        <v>#DIV/0!</v>
      </c>
      <c r="AX84" s="45">
        <f t="shared" si="13"/>
        <v>0</v>
      </c>
      <c r="AY84" s="45">
        <f t="shared" si="14"/>
        <v>0</v>
      </c>
      <c r="AZ84" s="45" t="str">
        <f t="shared" si="15"/>
        <v>#DIV/0!</v>
      </c>
      <c r="BB84" s="45">
        <f t="shared" si="16"/>
        <v>0</v>
      </c>
      <c r="BC84" s="45">
        <f t="shared" si="17"/>
        <v>0</v>
      </c>
      <c r="BD84" s="45" t="str">
        <f t="shared" si="18"/>
        <v>#DIV/0!</v>
      </c>
    </row>
    <row r="85" ht="15.75" customHeight="1">
      <c r="A85" s="52">
        <v>75.0</v>
      </c>
      <c r="B85" s="167" t="str">
        <f>'IA Test only'!B86</f>
        <v/>
      </c>
      <c r="C85" s="168" t="str">
        <f>'IA Test only'!C86</f>
        <v/>
      </c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53">
        <f t="shared" si="1"/>
        <v>0</v>
      </c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52">
        <f t="shared" si="2"/>
        <v>0</v>
      </c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52">
        <f t="shared" si="3"/>
        <v>0</v>
      </c>
      <c r="AL85" s="45">
        <f t="shared" si="4"/>
        <v>0</v>
      </c>
      <c r="AM85" s="45">
        <f t="shared" si="5"/>
        <v>0</v>
      </c>
      <c r="AN85" s="45" t="str">
        <f t="shared" si="6"/>
        <v>#DIV/0!</v>
      </c>
      <c r="AP85" s="45">
        <f t="shared" si="7"/>
        <v>0</v>
      </c>
      <c r="AQ85" s="45">
        <f t="shared" si="8"/>
        <v>0</v>
      </c>
      <c r="AR85" s="45" t="str">
        <f t="shared" si="9"/>
        <v>#DIV/0!</v>
      </c>
      <c r="AT85" s="45">
        <f t="shared" si="10"/>
        <v>0</v>
      </c>
      <c r="AU85" s="45">
        <f t="shared" si="11"/>
        <v>0</v>
      </c>
      <c r="AV85" s="45" t="str">
        <f t="shared" si="12"/>
        <v>#DIV/0!</v>
      </c>
      <c r="AX85" s="45">
        <f t="shared" si="13"/>
        <v>0</v>
      </c>
      <c r="AY85" s="45">
        <f t="shared" si="14"/>
        <v>0</v>
      </c>
      <c r="AZ85" s="45" t="str">
        <f t="shared" si="15"/>
        <v>#DIV/0!</v>
      </c>
      <c r="BB85" s="45">
        <f t="shared" si="16"/>
        <v>0</v>
      </c>
      <c r="BC85" s="45">
        <f t="shared" si="17"/>
        <v>0</v>
      </c>
      <c r="BD85" s="45" t="str">
        <f t="shared" si="18"/>
        <v>#DIV/0!</v>
      </c>
    </row>
    <row r="86" ht="15.75" customHeight="1">
      <c r="A86" s="52">
        <v>76.0</v>
      </c>
      <c r="B86" s="167" t="str">
        <f>'IA Test only'!B87</f>
        <v/>
      </c>
      <c r="C86" s="168" t="str">
        <f>'IA Test only'!C87</f>
        <v/>
      </c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53">
        <f t="shared" si="1"/>
        <v>0</v>
      </c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52">
        <f t="shared" si="2"/>
        <v>0</v>
      </c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52">
        <f t="shared" si="3"/>
        <v>0</v>
      </c>
      <c r="AL86" s="45">
        <f t="shared" si="4"/>
        <v>0</v>
      </c>
      <c r="AM86" s="45">
        <f t="shared" si="5"/>
        <v>0</v>
      </c>
      <c r="AN86" s="45" t="str">
        <f t="shared" si="6"/>
        <v>#DIV/0!</v>
      </c>
      <c r="AP86" s="45">
        <f t="shared" si="7"/>
        <v>0</v>
      </c>
      <c r="AQ86" s="45">
        <f t="shared" si="8"/>
        <v>0</v>
      </c>
      <c r="AR86" s="45" t="str">
        <f t="shared" si="9"/>
        <v>#DIV/0!</v>
      </c>
      <c r="AT86" s="45">
        <f t="shared" si="10"/>
        <v>0</v>
      </c>
      <c r="AU86" s="45">
        <f t="shared" si="11"/>
        <v>0</v>
      </c>
      <c r="AV86" s="45" t="str">
        <f t="shared" si="12"/>
        <v>#DIV/0!</v>
      </c>
      <c r="AX86" s="45">
        <f t="shared" si="13"/>
        <v>0</v>
      </c>
      <c r="AY86" s="45">
        <f t="shared" si="14"/>
        <v>0</v>
      </c>
      <c r="AZ86" s="45" t="str">
        <f t="shared" si="15"/>
        <v>#DIV/0!</v>
      </c>
      <c r="BB86" s="45">
        <f t="shared" si="16"/>
        <v>0</v>
      </c>
      <c r="BC86" s="45">
        <f t="shared" si="17"/>
        <v>0</v>
      </c>
      <c r="BD86" s="45" t="str">
        <f t="shared" si="18"/>
        <v>#DIV/0!</v>
      </c>
    </row>
    <row r="87" ht="15.75" customHeight="1">
      <c r="A87" s="52">
        <v>77.0</v>
      </c>
      <c r="B87" s="167" t="str">
        <f>'IA Test only'!B88</f>
        <v/>
      </c>
      <c r="C87" s="168" t="str">
        <f>'IA Test only'!C88</f>
        <v/>
      </c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53">
        <f t="shared" si="1"/>
        <v>0</v>
      </c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52">
        <f t="shared" si="2"/>
        <v>0</v>
      </c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52">
        <f t="shared" si="3"/>
        <v>0</v>
      </c>
      <c r="AL87" s="45">
        <f t="shared" si="4"/>
        <v>0</v>
      </c>
      <c r="AM87" s="45">
        <f t="shared" si="5"/>
        <v>0</v>
      </c>
      <c r="AN87" s="45" t="str">
        <f t="shared" si="6"/>
        <v>#DIV/0!</v>
      </c>
      <c r="AP87" s="45">
        <f t="shared" si="7"/>
        <v>0</v>
      </c>
      <c r="AQ87" s="45">
        <f t="shared" si="8"/>
        <v>0</v>
      </c>
      <c r="AR87" s="45" t="str">
        <f t="shared" si="9"/>
        <v>#DIV/0!</v>
      </c>
      <c r="AT87" s="45">
        <f t="shared" si="10"/>
        <v>0</v>
      </c>
      <c r="AU87" s="45">
        <f t="shared" si="11"/>
        <v>0</v>
      </c>
      <c r="AV87" s="45" t="str">
        <f t="shared" si="12"/>
        <v>#DIV/0!</v>
      </c>
      <c r="AX87" s="45">
        <f t="shared" si="13"/>
        <v>0</v>
      </c>
      <c r="AY87" s="45">
        <f t="shared" si="14"/>
        <v>0</v>
      </c>
      <c r="AZ87" s="45" t="str">
        <f t="shared" si="15"/>
        <v>#DIV/0!</v>
      </c>
      <c r="BB87" s="45">
        <f t="shared" si="16"/>
        <v>0</v>
      </c>
      <c r="BC87" s="45">
        <f t="shared" si="17"/>
        <v>0</v>
      </c>
      <c r="BD87" s="45" t="str">
        <f t="shared" si="18"/>
        <v>#DIV/0!</v>
      </c>
    </row>
    <row r="88" ht="15.75" customHeight="1">
      <c r="A88" s="52">
        <v>78.0</v>
      </c>
      <c r="B88" s="167" t="str">
        <f>'IA Test only'!B89</f>
        <v/>
      </c>
      <c r="C88" s="168" t="str">
        <f>'IA Test only'!C89</f>
        <v/>
      </c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53">
        <f t="shared" si="1"/>
        <v>0</v>
      </c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52">
        <f t="shared" si="2"/>
        <v>0</v>
      </c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52">
        <f t="shared" si="3"/>
        <v>0</v>
      </c>
      <c r="AL88" s="45">
        <f t="shared" si="4"/>
        <v>0</v>
      </c>
      <c r="AM88" s="45">
        <f t="shared" si="5"/>
        <v>0</v>
      </c>
      <c r="AN88" s="45" t="str">
        <f t="shared" si="6"/>
        <v>#DIV/0!</v>
      </c>
      <c r="AP88" s="45">
        <f t="shared" si="7"/>
        <v>0</v>
      </c>
      <c r="AQ88" s="45">
        <f t="shared" si="8"/>
        <v>0</v>
      </c>
      <c r="AR88" s="45" t="str">
        <f t="shared" si="9"/>
        <v>#DIV/0!</v>
      </c>
      <c r="AT88" s="45">
        <f t="shared" si="10"/>
        <v>0</v>
      </c>
      <c r="AU88" s="45">
        <f t="shared" si="11"/>
        <v>0</v>
      </c>
      <c r="AV88" s="45" t="str">
        <f t="shared" si="12"/>
        <v>#DIV/0!</v>
      </c>
      <c r="AX88" s="45">
        <f t="shared" si="13"/>
        <v>0</v>
      </c>
      <c r="AY88" s="45">
        <f t="shared" si="14"/>
        <v>0</v>
      </c>
      <c r="AZ88" s="45" t="str">
        <f t="shared" si="15"/>
        <v>#DIV/0!</v>
      </c>
      <c r="BB88" s="45">
        <f t="shared" si="16"/>
        <v>0</v>
      </c>
      <c r="BC88" s="45">
        <f t="shared" si="17"/>
        <v>0</v>
      </c>
      <c r="BD88" s="45" t="str">
        <f t="shared" si="18"/>
        <v>#DIV/0!</v>
      </c>
    </row>
    <row r="89" ht="15.75" customHeight="1">
      <c r="A89" s="52">
        <v>79.0</v>
      </c>
      <c r="B89" s="167" t="str">
        <f>'IA Test only'!B90</f>
        <v/>
      </c>
      <c r="C89" s="168" t="str">
        <f>'IA Test only'!C90</f>
        <v/>
      </c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53">
        <f t="shared" si="1"/>
        <v>0</v>
      </c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52">
        <f t="shared" si="2"/>
        <v>0</v>
      </c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52">
        <f t="shared" si="3"/>
        <v>0</v>
      </c>
      <c r="AL89" s="45">
        <f t="shared" si="4"/>
        <v>0</v>
      </c>
      <c r="AM89" s="45">
        <f t="shared" si="5"/>
        <v>0</v>
      </c>
      <c r="AN89" s="45" t="str">
        <f t="shared" si="6"/>
        <v>#DIV/0!</v>
      </c>
      <c r="AP89" s="45">
        <f t="shared" si="7"/>
        <v>0</v>
      </c>
      <c r="AQ89" s="45">
        <f t="shared" si="8"/>
        <v>0</v>
      </c>
      <c r="AR89" s="45" t="str">
        <f t="shared" si="9"/>
        <v>#DIV/0!</v>
      </c>
      <c r="AT89" s="45">
        <f t="shared" si="10"/>
        <v>0</v>
      </c>
      <c r="AU89" s="45">
        <f t="shared" si="11"/>
        <v>0</v>
      </c>
      <c r="AV89" s="45" t="str">
        <f t="shared" si="12"/>
        <v>#DIV/0!</v>
      </c>
      <c r="AX89" s="45">
        <f t="shared" si="13"/>
        <v>0</v>
      </c>
      <c r="AY89" s="45">
        <f t="shared" si="14"/>
        <v>0</v>
      </c>
      <c r="AZ89" s="45" t="str">
        <f t="shared" si="15"/>
        <v>#DIV/0!</v>
      </c>
      <c r="BB89" s="45">
        <f t="shared" si="16"/>
        <v>0</v>
      </c>
      <c r="BC89" s="45">
        <f t="shared" si="17"/>
        <v>0</v>
      </c>
      <c r="BD89" s="45" t="str">
        <f t="shared" si="18"/>
        <v>#DIV/0!</v>
      </c>
    </row>
    <row r="90" ht="15.75" customHeight="1">
      <c r="A90" s="52">
        <v>80.0</v>
      </c>
      <c r="B90" s="167" t="str">
        <f>'IA Test only'!B91</f>
        <v/>
      </c>
      <c r="C90" s="168" t="str">
        <f>'IA Test only'!C91</f>
        <v/>
      </c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53">
        <f t="shared" si="1"/>
        <v>0</v>
      </c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52">
        <f t="shared" si="2"/>
        <v>0</v>
      </c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52">
        <f t="shared" si="3"/>
        <v>0</v>
      </c>
      <c r="AL90" s="45">
        <f t="shared" si="4"/>
        <v>0</v>
      </c>
      <c r="AM90" s="45">
        <f t="shared" si="5"/>
        <v>0</v>
      </c>
      <c r="AN90" s="45" t="str">
        <f t="shared" si="6"/>
        <v>#DIV/0!</v>
      </c>
      <c r="AP90" s="45">
        <f t="shared" si="7"/>
        <v>0</v>
      </c>
      <c r="AQ90" s="45">
        <f t="shared" si="8"/>
        <v>0</v>
      </c>
      <c r="AR90" s="45" t="str">
        <f t="shared" si="9"/>
        <v>#DIV/0!</v>
      </c>
      <c r="AT90" s="45">
        <f t="shared" si="10"/>
        <v>0</v>
      </c>
      <c r="AU90" s="45">
        <f t="shared" si="11"/>
        <v>0</v>
      </c>
      <c r="AV90" s="45" t="str">
        <f t="shared" si="12"/>
        <v>#DIV/0!</v>
      </c>
      <c r="AX90" s="45">
        <f t="shared" si="13"/>
        <v>0</v>
      </c>
      <c r="AY90" s="45">
        <f t="shared" si="14"/>
        <v>0</v>
      </c>
      <c r="AZ90" s="45" t="str">
        <f t="shared" si="15"/>
        <v>#DIV/0!</v>
      </c>
      <c r="BB90" s="45">
        <f t="shared" si="16"/>
        <v>0</v>
      </c>
      <c r="BC90" s="45">
        <f t="shared" si="17"/>
        <v>0</v>
      </c>
      <c r="BD90" s="45" t="str">
        <f t="shared" si="18"/>
        <v>#DIV/0!</v>
      </c>
    </row>
    <row r="91" ht="15.75" customHeight="1">
      <c r="A91" s="52">
        <v>81.0</v>
      </c>
      <c r="B91" s="167" t="str">
        <f>'IA Test only'!B92</f>
        <v/>
      </c>
      <c r="C91" s="168" t="str">
        <f>'IA Test only'!C92</f>
        <v/>
      </c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53">
        <f t="shared" si="1"/>
        <v>0</v>
      </c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52">
        <f t="shared" si="2"/>
        <v>0</v>
      </c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52">
        <f t="shared" si="3"/>
        <v>0</v>
      </c>
      <c r="AL91" s="45">
        <f t="shared" si="4"/>
        <v>0</v>
      </c>
      <c r="AM91" s="45">
        <f t="shared" si="5"/>
        <v>0</v>
      </c>
      <c r="AN91" s="45" t="str">
        <f t="shared" si="6"/>
        <v>#DIV/0!</v>
      </c>
      <c r="AP91" s="45">
        <f t="shared" si="7"/>
        <v>0</v>
      </c>
      <c r="AQ91" s="45">
        <f t="shared" si="8"/>
        <v>0</v>
      </c>
      <c r="AR91" s="45" t="str">
        <f t="shared" si="9"/>
        <v>#DIV/0!</v>
      </c>
      <c r="AT91" s="45">
        <f t="shared" si="10"/>
        <v>0</v>
      </c>
      <c r="AU91" s="45">
        <f t="shared" si="11"/>
        <v>0</v>
      </c>
      <c r="AV91" s="45" t="str">
        <f t="shared" si="12"/>
        <v>#DIV/0!</v>
      </c>
      <c r="AX91" s="45">
        <f t="shared" si="13"/>
        <v>0</v>
      </c>
      <c r="AY91" s="45">
        <f t="shared" si="14"/>
        <v>0</v>
      </c>
      <c r="AZ91" s="45" t="str">
        <f t="shared" si="15"/>
        <v>#DIV/0!</v>
      </c>
      <c r="BB91" s="45">
        <f t="shared" si="16"/>
        <v>0</v>
      </c>
      <c r="BC91" s="45">
        <f t="shared" si="17"/>
        <v>0</v>
      </c>
      <c r="BD91" s="45" t="str">
        <f t="shared" si="18"/>
        <v>#DIV/0!</v>
      </c>
    </row>
    <row r="92" ht="15.75" customHeight="1">
      <c r="A92" s="52">
        <v>82.0</v>
      </c>
      <c r="B92" s="167" t="str">
        <f>'IA Test only'!B93</f>
        <v/>
      </c>
      <c r="C92" s="168" t="str">
        <f>'IA Test only'!C93</f>
        <v/>
      </c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53">
        <f t="shared" si="1"/>
        <v>0</v>
      </c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52">
        <f t="shared" si="2"/>
        <v>0</v>
      </c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52">
        <f t="shared" si="3"/>
        <v>0</v>
      </c>
      <c r="AL92" s="45">
        <f t="shared" si="4"/>
        <v>0</v>
      </c>
      <c r="AM92" s="45">
        <f t="shared" si="5"/>
        <v>0</v>
      </c>
      <c r="AN92" s="45" t="str">
        <f t="shared" si="6"/>
        <v>#DIV/0!</v>
      </c>
      <c r="AP92" s="45">
        <f t="shared" si="7"/>
        <v>0</v>
      </c>
      <c r="AQ92" s="45">
        <f t="shared" si="8"/>
        <v>0</v>
      </c>
      <c r="AR92" s="45" t="str">
        <f t="shared" si="9"/>
        <v>#DIV/0!</v>
      </c>
      <c r="AT92" s="45">
        <f t="shared" si="10"/>
        <v>0</v>
      </c>
      <c r="AU92" s="45">
        <f t="shared" si="11"/>
        <v>0</v>
      </c>
      <c r="AV92" s="45" t="str">
        <f t="shared" si="12"/>
        <v>#DIV/0!</v>
      </c>
      <c r="AX92" s="45">
        <f t="shared" si="13"/>
        <v>0</v>
      </c>
      <c r="AY92" s="45">
        <f t="shared" si="14"/>
        <v>0</v>
      </c>
      <c r="AZ92" s="45" t="str">
        <f t="shared" si="15"/>
        <v>#DIV/0!</v>
      </c>
      <c r="BB92" s="45">
        <f t="shared" si="16"/>
        <v>0</v>
      </c>
      <c r="BC92" s="45">
        <f t="shared" si="17"/>
        <v>0</v>
      </c>
      <c r="BD92" s="45" t="str">
        <f t="shared" si="18"/>
        <v>#DIV/0!</v>
      </c>
    </row>
    <row r="93" ht="15.75" customHeight="1">
      <c r="A93" s="52">
        <v>83.0</v>
      </c>
      <c r="B93" s="167" t="str">
        <f>'IA Test only'!B94</f>
        <v/>
      </c>
      <c r="C93" s="168" t="str">
        <f>'IA Test only'!C94</f>
        <v/>
      </c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53">
        <f t="shared" si="1"/>
        <v>0</v>
      </c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52">
        <f t="shared" si="2"/>
        <v>0</v>
      </c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52">
        <f t="shared" si="3"/>
        <v>0</v>
      </c>
      <c r="AL93" s="45">
        <f t="shared" si="4"/>
        <v>0</v>
      </c>
      <c r="AM93" s="45">
        <f t="shared" si="5"/>
        <v>0</v>
      </c>
      <c r="AN93" s="45" t="str">
        <f t="shared" si="6"/>
        <v>#DIV/0!</v>
      </c>
      <c r="AP93" s="45">
        <f t="shared" si="7"/>
        <v>0</v>
      </c>
      <c r="AQ93" s="45">
        <f t="shared" si="8"/>
        <v>0</v>
      </c>
      <c r="AR93" s="45" t="str">
        <f t="shared" si="9"/>
        <v>#DIV/0!</v>
      </c>
      <c r="AT93" s="45">
        <f t="shared" si="10"/>
        <v>0</v>
      </c>
      <c r="AU93" s="45">
        <f t="shared" si="11"/>
        <v>0</v>
      </c>
      <c r="AV93" s="45" t="str">
        <f t="shared" si="12"/>
        <v>#DIV/0!</v>
      </c>
      <c r="AX93" s="45">
        <f t="shared" si="13"/>
        <v>0</v>
      </c>
      <c r="AY93" s="45">
        <f t="shared" si="14"/>
        <v>0</v>
      </c>
      <c r="AZ93" s="45" t="str">
        <f t="shared" si="15"/>
        <v>#DIV/0!</v>
      </c>
      <c r="BB93" s="45">
        <f t="shared" si="16"/>
        <v>0</v>
      </c>
      <c r="BC93" s="45">
        <f t="shared" si="17"/>
        <v>0</v>
      </c>
      <c r="BD93" s="45" t="str">
        <f t="shared" si="18"/>
        <v>#DIV/0!</v>
      </c>
    </row>
    <row r="94" ht="15.75" customHeight="1">
      <c r="A94" s="52">
        <v>84.0</v>
      </c>
      <c r="B94" s="167" t="str">
        <f>'IA Test only'!B95</f>
        <v/>
      </c>
      <c r="C94" s="168" t="str">
        <f>'IA Test only'!C95</f>
        <v/>
      </c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53">
        <f t="shared" si="1"/>
        <v>0</v>
      </c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52">
        <f t="shared" si="2"/>
        <v>0</v>
      </c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52">
        <f t="shared" si="3"/>
        <v>0</v>
      </c>
      <c r="AL94" s="45">
        <f t="shared" si="4"/>
        <v>0</v>
      </c>
      <c r="AM94" s="45">
        <f t="shared" si="5"/>
        <v>0</v>
      </c>
      <c r="AN94" s="45" t="str">
        <f t="shared" si="6"/>
        <v>#DIV/0!</v>
      </c>
      <c r="AP94" s="45">
        <f t="shared" si="7"/>
        <v>0</v>
      </c>
      <c r="AQ94" s="45">
        <f t="shared" si="8"/>
        <v>0</v>
      </c>
      <c r="AR94" s="45" t="str">
        <f t="shared" si="9"/>
        <v>#DIV/0!</v>
      </c>
      <c r="AT94" s="45">
        <f t="shared" si="10"/>
        <v>0</v>
      </c>
      <c r="AU94" s="45">
        <f t="shared" si="11"/>
        <v>0</v>
      </c>
      <c r="AV94" s="45" t="str">
        <f t="shared" si="12"/>
        <v>#DIV/0!</v>
      </c>
      <c r="AX94" s="45">
        <f t="shared" si="13"/>
        <v>0</v>
      </c>
      <c r="AY94" s="45">
        <f t="shared" si="14"/>
        <v>0</v>
      </c>
      <c r="AZ94" s="45" t="str">
        <f t="shared" si="15"/>
        <v>#DIV/0!</v>
      </c>
      <c r="BB94" s="45">
        <f t="shared" si="16"/>
        <v>0</v>
      </c>
      <c r="BC94" s="45">
        <f t="shared" si="17"/>
        <v>0</v>
      </c>
      <c r="BD94" s="45" t="str">
        <f t="shared" si="18"/>
        <v>#DIV/0!</v>
      </c>
    </row>
    <row r="95" ht="15.75" customHeight="1">
      <c r="A95" s="52">
        <v>85.0</v>
      </c>
      <c r="B95" s="167" t="str">
        <f>'IA Test only'!B96</f>
        <v/>
      </c>
      <c r="C95" s="168" t="str">
        <f>'IA Test only'!C96</f>
        <v/>
      </c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53">
        <f t="shared" si="1"/>
        <v>0</v>
      </c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52">
        <f t="shared" si="2"/>
        <v>0</v>
      </c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52">
        <f t="shared" si="3"/>
        <v>0</v>
      </c>
      <c r="AL95" s="45">
        <f t="shared" si="4"/>
        <v>0</v>
      </c>
      <c r="AM95" s="45">
        <f t="shared" si="5"/>
        <v>0</v>
      </c>
      <c r="AN95" s="45" t="str">
        <f t="shared" si="6"/>
        <v>#DIV/0!</v>
      </c>
      <c r="AP95" s="45">
        <f t="shared" si="7"/>
        <v>0</v>
      </c>
      <c r="AQ95" s="45">
        <f t="shared" si="8"/>
        <v>0</v>
      </c>
      <c r="AR95" s="45" t="str">
        <f t="shared" si="9"/>
        <v>#DIV/0!</v>
      </c>
      <c r="AT95" s="45">
        <f t="shared" si="10"/>
        <v>0</v>
      </c>
      <c r="AU95" s="45">
        <f t="shared" si="11"/>
        <v>0</v>
      </c>
      <c r="AV95" s="45" t="str">
        <f t="shared" si="12"/>
        <v>#DIV/0!</v>
      </c>
      <c r="AX95" s="45">
        <f t="shared" si="13"/>
        <v>0</v>
      </c>
      <c r="AY95" s="45">
        <f t="shared" si="14"/>
        <v>0</v>
      </c>
      <c r="AZ95" s="45" t="str">
        <f t="shared" si="15"/>
        <v>#DIV/0!</v>
      </c>
      <c r="BB95" s="45">
        <f t="shared" si="16"/>
        <v>0</v>
      </c>
      <c r="BC95" s="45">
        <f t="shared" si="17"/>
        <v>0</v>
      </c>
      <c r="BD95" s="45" t="str">
        <f t="shared" si="18"/>
        <v>#DIV/0!</v>
      </c>
    </row>
    <row r="96" ht="15.75" customHeight="1">
      <c r="A96" s="52">
        <v>86.0</v>
      </c>
      <c r="B96" s="167" t="str">
        <f>'IA Test only'!B97</f>
        <v/>
      </c>
      <c r="C96" s="168" t="str">
        <f>'IA Test only'!C97</f>
        <v/>
      </c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53">
        <f t="shared" si="1"/>
        <v>0</v>
      </c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52">
        <f t="shared" si="2"/>
        <v>0</v>
      </c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52">
        <f t="shared" si="3"/>
        <v>0</v>
      </c>
      <c r="AL96" s="45">
        <f t="shared" si="4"/>
        <v>0</v>
      </c>
      <c r="AM96" s="45">
        <f t="shared" si="5"/>
        <v>0</v>
      </c>
      <c r="AN96" s="45" t="str">
        <f t="shared" si="6"/>
        <v>#DIV/0!</v>
      </c>
      <c r="AP96" s="45">
        <f t="shared" si="7"/>
        <v>0</v>
      </c>
      <c r="AQ96" s="45">
        <f t="shared" si="8"/>
        <v>0</v>
      </c>
      <c r="AR96" s="45" t="str">
        <f t="shared" si="9"/>
        <v>#DIV/0!</v>
      </c>
      <c r="AT96" s="45">
        <f t="shared" si="10"/>
        <v>0</v>
      </c>
      <c r="AU96" s="45">
        <f t="shared" si="11"/>
        <v>0</v>
      </c>
      <c r="AV96" s="45" t="str">
        <f t="shared" si="12"/>
        <v>#DIV/0!</v>
      </c>
      <c r="AX96" s="45">
        <f t="shared" si="13"/>
        <v>0</v>
      </c>
      <c r="AY96" s="45">
        <f t="shared" si="14"/>
        <v>0</v>
      </c>
      <c r="AZ96" s="45" t="str">
        <f t="shared" si="15"/>
        <v>#DIV/0!</v>
      </c>
      <c r="BB96" s="45">
        <f t="shared" si="16"/>
        <v>0</v>
      </c>
      <c r="BC96" s="45">
        <f t="shared" si="17"/>
        <v>0</v>
      </c>
      <c r="BD96" s="45" t="str">
        <f t="shared" si="18"/>
        <v>#DIV/0!</v>
      </c>
    </row>
    <row r="97" ht="15.75" customHeight="1">
      <c r="A97" s="52">
        <v>87.0</v>
      </c>
      <c r="B97" s="167" t="str">
        <f>'IA Test only'!B98</f>
        <v/>
      </c>
      <c r="C97" s="168" t="str">
        <f>'IA Test only'!C98</f>
        <v/>
      </c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53">
        <f t="shared" si="1"/>
        <v>0</v>
      </c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52">
        <f t="shared" si="2"/>
        <v>0</v>
      </c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52">
        <f t="shared" si="3"/>
        <v>0</v>
      </c>
      <c r="AL97" s="45">
        <f t="shared" si="4"/>
        <v>0</v>
      </c>
      <c r="AM97" s="45">
        <f t="shared" si="5"/>
        <v>0</v>
      </c>
      <c r="AN97" s="45" t="str">
        <f t="shared" si="6"/>
        <v>#DIV/0!</v>
      </c>
      <c r="AP97" s="45">
        <f t="shared" si="7"/>
        <v>0</v>
      </c>
      <c r="AQ97" s="45">
        <f t="shared" si="8"/>
        <v>0</v>
      </c>
      <c r="AR97" s="45" t="str">
        <f t="shared" si="9"/>
        <v>#DIV/0!</v>
      </c>
      <c r="AT97" s="45">
        <f t="shared" si="10"/>
        <v>0</v>
      </c>
      <c r="AU97" s="45">
        <f t="shared" si="11"/>
        <v>0</v>
      </c>
      <c r="AV97" s="45" t="str">
        <f t="shared" si="12"/>
        <v>#DIV/0!</v>
      </c>
      <c r="AX97" s="45">
        <f t="shared" si="13"/>
        <v>0</v>
      </c>
      <c r="AY97" s="45">
        <f t="shared" si="14"/>
        <v>0</v>
      </c>
      <c r="AZ97" s="45" t="str">
        <f t="shared" si="15"/>
        <v>#DIV/0!</v>
      </c>
      <c r="BB97" s="45">
        <f t="shared" si="16"/>
        <v>0</v>
      </c>
      <c r="BC97" s="45">
        <f t="shared" si="17"/>
        <v>0</v>
      </c>
      <c r="BD97" s="45" t="str">
        <f t="shared" si="18"/>
        <v>#DIV/0!</v>
      </c>
    </row>
    <row r="98" ht="15.75" customHeight="1">
      <c r="A98" s="52">
        <v>88.0</v>
      </c>
      <c r="B98" s="167" t="str">
        <f>'IA Test only'!B99</f>
        <v/>
      </c>
      <c r="C98" s="168" t="str">
        <f>'IA Test only'!C99</f>
        <v/>
      </c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53">
        <f t="shared" si="1"/>
        <v>0</v>
      </c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52">
        <f t="shared" si="2"/>
        <v>0</v>
      </c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52">
        <f t="shared" si="3"/>
        <v>0</v>
      </c>
      <c r="AL98" s="45">
        <f t="shared" si="4"/>
        <v>0</v>
      </c>
      <c r="AM98" s="45">
        <f t="shared" si="5"/>
        <v>0</v>
      </c>
      <c r="AN98" s="45" t="str">
        <f t="shared" si="6"/>
        <v>#DIV/0!</v>
      </c>
      <c r="AP98" s="45">
        <f t="shared" si="7"/>
        <v>0</v>
      </c>
      <c r="AQ98" s="45">
        <f t="shared" si="8"/>
        <v>0</v>
      </c>
      <c r="AR98" s="45" t="str">
        <f t="shared" si="9"/>
        <v>#DIV/0!</v>
      </c>
      <c r="AT98" s="45">
        <f t="shared" si="10"/>
        <v>0</v>
      </c>
      <c r="AU98" s="45">
        <f t="shared" si="11"/>
        <v>0</v>
      </c>
      <c r="AV98" s="45" t="str">
        <f t="shared" si="12"/>
        <v>#DIV/0!</v>
      </c>
      <c r="AX98" s="45">
        <f t="shared" si="13"/>
        <v>0</v>
      </c>
      <c r="AY98" s="45">
        <f t="shared" si="14"/>
        <v>0</v>
      </c>
      <c r="AZ98" s="45" t="str">
        <f t="shared" si="15"/>
        <v>#DIV/0!</v>
      </c>
      <c r="BB98" s="45">
        <f t="shared" si="16"/>
        <v>0</v>
      </c>
      <c r="BC98" s="45">
        <f t="shared" si="17"/>
        <v>0</v>
      </c>
      <c r="BD98" s="45" t="str">
        <f t="shared" si="18"/>
        <v>#DIV/0!</v>
      </c>
    </row>
    <row r="99" ht="15.75" customHeight="1">
      <c r="A99" s="52">
        <v>89.0</v>
      </c>
      <c r="B99" s="167" t="str">
        <f>'IA Test only'!B100</f>
        <v/>
      </c>
      <c r="C99" s="168" t="str">
        <f>'IA Test only'!C100</f>
        <v/>
      </c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53">
        <f t="shared" si="1"/>
        <v>0</v>
      </c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52">
        <f t="shared" si="2"/>
        <v>0</v>
      </c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52">
        <f t="shared" si="3"/>
        <v>0</v>
      </c>
      <c r="AL99" s="45">
        <f t="shared" si="4"/>
        <v>0</v>
      </c>
      <c r="AM99" s="45">
        <f t="shared" si="5"/>
        <v>0</v>
      </c>
      <c r="AN99" s="45" t="str">
        <f t="shared" si="6"/>
        <v>#DIV/0!</v>
      </c>
      <c r="AP99" s="45">
        <f t="shared" si="7"/>
        <v>0</v>
      </c>
      <c r="AQ99" s="45">
        <f t="shared" si="8"/>
        <v>0</v>
      </c>
      <c r="AR99" s="45" t="str">
        <f t="shared" si="9"/>
        <v>#DIV/0!</v>
      </c>
      <c r="AT99" s="45">
        <f t="shared" si="10"/>
        <v>0</v>
      </c>
      <c r="AU99" s="45">
        <f t="shared" si="11"/>
        <v>0</v>
      </c>
      <c r="AV99" s="45" t="str">
        <f t="shared" si="12"/>
        <v>#DIV/0!</v>
      </c>
      <c r="AX99" s="45">
        <f t="shared" si="13"/>
        <v>0</v>
      </c>
      <c r="AY99" s="45">
        <f t="shared" si="14"/>
        <v>0</v>
      </c>
      <c r="AZ99" s="45" t="str">
        <f t="shared" si="15"/>
        <v>#DIV/0!</v>
      </c>
      <c r="BB99" s="45">
        <f t="shared" si="16"/>
        <v>0</v>
      </c>
      <c r="BC99" s="45">
        <f t="shared" si="17"/>
        <v>0</v>
      </c>
      <c r="BD99" s="45" t="str">
        <f t="shared" si="18"/>
        <v>#DIV/0!</v>
      </c>
    </row>
    <row r="100" ht="15.75" customHeight="1">
      <c r="A100" s="52">
        <v>90.0</v>
      </c>
      <c r="B100" s="167" t="str">
        <f>'IA Test only'!B101</f>
        <v/>
      </c>
      <c r="C100" s="168" t="str">
        <f>'IA Test only'!C101</f>
        <v/>
      </c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53">
        <f t="shared" si="1"/>
        <v>0</v>
      </c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52">
        <f t="shared" si="2"/>
        <v>0</v>
      </c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52">
        <f t="shared" si="3"/>
        <v>0</v>
      </c>
      <c r="AL100" s="45">
        <f t="shared" si="4"/>
        <v>0</v>
      </c>
      <c r="AM100" s="45">
        <f t="shared" si="5"/>
        <v>0</v>
      </c>
      <c r="AN100" s="45" t="str">
        <f t="shared" si="6"/>
        <v>#DIV/0!</v>
      </c>
      <c r="AP100" s="45">
        <f t="shared" si="7"/>
        <v>0</v>
      </c>
      <c r="AQ100" s="45">
        <f t="shared" si="8"/>
        <v>0</v>
      </c>
      <c r="AR100" s="45" t="str">
        <f t="shared" si="9"/>
        <v>#DIV/0!</v>
      </c>
      <c r="AT100" s="45">
        <f t="shared" si="10"/>
        <v>0</v>
      </c>
      <c r="AU100" s="45">
        <f t="shared" si="11"/>
        <v>0</v>
      </c>
      <c r="AV100" s="45" t="str">
        <f t="shared" si="12"/>
        <v>#DIV/0!</v>
      </c>
      <c r="AX100" s="45">
        <f t="shared" si="13"/>
        <v>0</v>
      </c>
      <c r="AY100" s="45">
        <f t="shared" si="14"/>
        <v>0</v>
      </c>
      <c r="AZ100" s="45" t="str">
        <f t="shared" si="15"/>
        <v>#DIV/0!</v>
      </c>
      <c r="BB100" s="45">
        <f t="shared" si="16"/>
        <v>0</v>
      </c>
      <c r="BC100" s="45">
        <f t="shared" si="17"/>
        <v>0</v>
      </c>
      <c r="BD100" s="45" t="str">
        <f t="shared" si="18"/>
        <v>#DIV/0!</v>
      </c>
    </row>
    <row r="101" ht="15.75" customHeight="1">
      <c r="A101" s="52">
        <v>91.0</v>
      </c>
      <c r="B101" s="167" t="str">
        <f>'IA Test only'!B102</f>
        <v/>
      </c>
      <c r="C101" s="168" t="str">
        <f>'IA Test only'!C102</f>
        <v/>
      </c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53">
        <f t="shared" si="1"/>
        <v>0</v>
      </c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52">
        <f t="shared" si="2"/>
        <v>0</v>
      </c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52">
        <f t="shared" si="3"/>
        <v>0</v>
      </c>
      <c r="AL101" s="45">
        <f t="shared" si="4"/>
        <v>0</v>
      </c>
      <c r="AM101" s="45">
        <f t="shared" si="5"/>
        <v>0</v>
      </c>
      <c r="AN101" s="45" t="str">
        <f t="shared" si="6"/>
        <v>#DIV/0!</v>
      </c>
      <c r="AP101" s="45">
        <f t="shared" si="7"/>
        <v>0</v>
      </c>
      <c r="AQ101" s="45">
        <f t="shared" si="8"/>
        <v>0</v>
      </c>
      <c r="AR101" s="45" t="str">
        <f t="shared" si="9"/>
        <v>#DIV/0!</v>
      </c>
      <c r="AT101" s="45">
        <f t="shared" si="10"/>
        <v>0</v>
      </c>
      <c r="AU101" s="45">
        <f t="shared" si="11"/>
        <v>0</v>
      </c>
      <c r="AV101" s="45" t="str">
        <f t="shared" si="12"/>
        <v>#DIV/0!</v>
      </c>
      <c r="AX101" s="45">
        <f t="shared" si="13"/>
        <v>0</v>
      </c>
      <c r="AY101" s="45">
        <f t="shared" si="14"/>
        <v>0</v>
      </c>
      <c r="AZ101" s="45" t="str">
        <f t="shared" si="15"/>
        <v>#DIV/0!</v>
      </c>
      <c r="BB101" s="45">
        <f t="shared" si="16"/>
        <v>0</v>
      </c>
      <c r="BC101" s="45">
        <f t="shared" si="17"/>
        <v>0</v>
      </c>
      <c r="BD101" s="45" t="str">
        <f t="shared" si="18"/>
        <v>#DIV/0!</v>
      </c>
    </row>
    <row r="102" ht="15.75" customHeight="1">
      <c r="A102" s="52">
        <v>92.0</v>
      </c>
      <c r="B102" s="167" t="str">
        <f>'IA Test only'!B103</f>
        <v/>
      </c>
      <c r="C102" s="168" t="str">
        <f>'IA Test only'!C103</f>
        <v/>
      </c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53">
        <f t="shared" si="1"/>
        <v>0</v>
      </c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52">
        <f t="shared" si="2"/>
        <v>0</v>
      </c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52">
        <f t="shared" si="3"/>
        <v>0</v>
      </c>
      <c r="AL102" s="45">
        <f t="shared" si="4"/>
        <v>0</v>
      </c>
      <c r="AM102" s="45">
        <f t="shared" si="5"/>
        <v>0</v>
      </c>
      <c r="AN102" s="45" t="str">
        <f t="shared" si="6"/>
        <v>#DIV/0!</v>
      </c>
      <c r="AP102" s="45">
        <f t="shared" si="7"/>
        <v>0</v>
      </c>
      <c r="AQ102" s="45">
        <f t="shared" si="8"/>
        <v>0</v>
      </c>
      <c r="AR102" s="45" t="str">
        <f t="shared" si="9"/>
        <v>#DIV/0!</v>
      </c>
      <c r="AT102" s="45">
        <f t="shared" si="10"/>
        <v>0</v>
      </c>
      <c r="AU102" s="45">
        <f t="shared" si="11"/>
        <v>0</v>
      </c>
      <c r="AV102" s="45" t="str">
        <f t="shared" si="12"/>
        <v>#DIV/0!</v>
      </c>
      <c r="AX102" s="45">
        <f t="shared" si="13"/>
        <v>0</v>
      </c>
      <c r="AY102" s="45">
        <f t="shared" si="14"/>
        <v>0</v>
      </c>
      <c r="AZ102" s="45" t="str">
        <f t="shared" si="15"/>
        <v>#DIV/0!</v>
      </c>
      <c r="BB102" s="45">
        <f t="shared" si="16"/>
        <v>0</v>
      </c>
      <c r="BC102" s="45">
        <f t="shared" si="17"/>
        <v>0</v>
      </c>
      <c r="BD102" s="45" t="str">
        <f t="shared" si="18"/>
        <v>#DIV/0!</v>
      </c>
    </row>
    <row r="103" ht="15.75" customHeight="1">
      <c r="A103" s="52">
        <v>93.0</v>
      </c>
      <c r="B103" s="167" t="str">
        <f>'IA Test only'!B104</f>
        <v/>
      </c>
      <c r="C103" s="168" t="str">
        <f>'IA Test only'!C104</f>
        <v/>
      </c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53">
        <f t="shared" si="1"/>
        <v>0</v>
      </c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52">
        <f t="shared" si="2"/>
        <v>0</v>
      </c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52">
        <f t="shared" si="3"/>
        <v>0</v>
      </c>
      <c r="AL103" s="45">
        <f t="shared" si="4"/>
        <v>0</v>
      </c>
      <c r="AM103" s="45">
        <f t="shared" si="5"/>
        <v>0</v>
      </c>
      <c r="AN103" s="45" t="str">
        <f t="shared" si="6"/>
        <v>#DIV/0!</v>
      </c>
      <c r="AP103" s="45">
        <f t="shared" si="7"/>
        <v>0</v>
      </c>
      <c r="AQ103" s="45">
        <f t="shared" si="8"/>
        <v>0</v>
      </c>
      <c r="AR103" s="45" t="str">
        <f t="shared" si="9"/>
        <v>#DIV/0!</v>
      </c>
      <c r="AT103" s="45">
        <f t="shared" si="10"/>
        <v>0</v>
      </c>
      <c r="AU103" s="45">
        <f t="shared" si="11"/>
        <v>0</v>
      </c>
      <c r="AV103" s="45" t="str">
        <f t="shared" si="12"/>
        <v>#DIV/0!</v>
      </c>
      <c r="AX103" s="45">
        <f t="shared" si="13"/>
        <v>0</v>
      </c>
      <c r="AY103" s="45">
        <f t="shared" si="14"/>
        <v>0</v>
      </c>
      <c r="AZ103" s="45" t="str">
        <f t="shared" si="15"/>
        <v>#DIV/0!</v>
      </c>
      <c r="BB103" s="45">
        <f t="shared" si="16"/>
        <v>0</v>
      </c>
      <c r="BC103" s="45">
        <f t="shared" si="17"/>
        <v>0</v>
      </c>
      <c r="BD103" s="45" t="str">
        <f t="shared" si="18"/>
        <v>#DIV/0!</v>
      </c>
    </row>
    <row r="104" ht="15.75" customHeight="1">
      <c r="A104" s="52">
        <v>94.0</v>
      </c>
      <c r="B104" s="167" t="str">
        <f>'IA Test only'!B105</f>
        <v/>
      </c>
      <c r="C104" s="168" t="str">
        <f>'IA Test only'!C105</f>
        <v/>
      </c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53">
        <f t="shared" si="1"/>
        <v>0</v>
      </c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52">
        <f t="shared" si="2"/>
        <v>0</v>
      </c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52">
        <f t="shared" si="3"/>
        <v>0</v>
      </c>
      <c r="AL104" s="45">
        <f t="shared" si="4"/>
        <v>0</v>
      </c>
      <c r="AM104" s="45">
        <f t="shared" si="5"/>
        <v>0</v>
      </c>
      <c r="AN104" s="45" t="str">
        <f t="shared" si="6"/>
        <v>#DIV/0!</v>
      </c>
      <c r="AP104" s="45">
        <f t="shared" si="7"/>
        <v>0</v>
      </c>
      <c r="AQ104" s="45">
        <f t="shared" si="8"/>
        <v>0</v>
      </c>
      <c r="AR104" s="45" t="str">
        <f t="shared" si="9"/>
        <v>#DIV/0!</v>
      </c>
      <c r="AT104" s="45">
        <f t="shared" si="10"/>
        <v>0</v>
      </c>
      <c r="AU104" s="45">
        <f t="shared" si="11"/>
        <v>0</v>
      </c>
      <c r="AV104" s="45" t="str">
        <f t="shared" si="12"/>
        <v>#DIV/0!</v>
      </c>
      <c r="AX104" s="45">
        <f t="shared" si="13"/>
        <v>0</v>
      </c>
      <c r="AY104" s="45">
        <f t="shared" si="14"/>
        <v>0</v>
      </c>
      <c r="AZ104" s="45" t="str">
        <f t="shared" si="15"/>
        <v>#DIV/0!</v>
      </c>
      <c r="BB104" s="45">
        <f t="shared" si="16"/>
        <v>0</v>
      </c>
      <c r="BC104" s="45">
        <f t="shared" si="17"/>
        <v>0</v>
      </c>
      <c r="BD104" s="45" t="str">
        <f t="shared" si="18"/>
        <v>#DIV/0!</v>
      </c>
    </row>
    <row r="105" ht="15.75" customHeight="1">
      <c r="A105" s="52">
        <v>95.0</v>
      </c>
      <c r="B105" s="167" t="str">
        <f>'IA Test only'!B106</f>
        <v/>
      </c>
      <c r="C105" s="168" t="str">
        <f>'IA Test only'!C106</f>
        <v/>
      </c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53">
        <f t="shared" si="1"/>
        <v>0</v>
      </c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52">
        <f t="shared" si="2"/>
        <v>0</v>
      </c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52">
        <f t="shared" si="3"/>
        <v>0</v>
      </c>
      <c r="AL105" s="45">
        <f t="shared" si="4"/>
        <v>0</v>
      </c>
      <c r="AM105" s="45">
        <f t="shared" si="5"/>
        <v>0</v>
      </c>
      <c r="AN105" s="45" t="str">
        <f t="shared" si="6"/>
        <v>#DIV/0!</v>
      </c>
      <c r="AP105" s="45">
        <f t="shared" si="7"/>
        <v>0</v>
      </c>
      <c r="AQ105" s="45">
        <f t="shared" si="8"/>
        <v>0</v>
      </c>
      <c r="AR105" s="45" t="str">
        <f t="shared" si="9"/>
        <v>#DIV/0!</v>
      </c>
      <c r="AT105" s="45">
        <f t="shared" si="10"/>
        <v>0</v>
      </c>
      <c r="AU105" s="45">
        <f t="shared" si="11"/>
        <v>0</v>
      </c>
      <c r="AV105" s="45" t="str">
        <f t="shared" si="12"/>
        <v>#DIV/0!</v>
      </c>
      <c r="AX105" s="45">
        <f t="shared" si="13"/>
        <v>0</v>
      </c>
      <c r="AY105" s="45">
        <f t="shared" si="14"/>
        <v>0</v>
      </c>
      <c r="AZ105" s="45" t="str">
        <f t="shared" si="15"/>
        <v>#DIV/0!</v>
      </c>
      <c r="BB105" s="45">
        <f t="shared" si="16"/>
        <v>0</v>
      </c>
      <c r="BC105" s="45">
        <f t="shared" si="17"/>
        <v>0</v>
      </c>
      <c r="BD105" s="45" t="str">
        <f t="shared" si="18"/>
        <v>#DIV/0!</v>
      </c>
    </row>
    <row r="106" ht="15.75" customHeight="1">
      <c r="A106" s="52">
        <v>96.0</v>
      </c>
      <c r="B106" s="167" t="str">
        <f>'IA Test only'!B107</f>
        <v/>
      </c>
      <c r="C106" s="168" t="str">
        <f>'IA Test only'!C107</f>
        <v/>
      </c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53">
        <f t="shared" si="1"/>
        <v>0</v>
      </c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52">
        <f t="shared" si="2"/>
        <v>0</v>
      </c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52">
        <f t="shared" si="3"/>
        <v>0</v>
      </c>
      <c r="AL106" s="45">
        <f t="shared" si="4"/>
        <v>0</v>
      </c>
      <c r="AM106" s="45">
        <f t="shared" si="5"/>
        <v>0</v>
      </c>
      <c r="AN106" s="45" t="str">
        <f t="shared" si="6"/>
        <v>#DIV/0!</v>
      </c>
      <c r="AP106" s="45">
        <f t="shared" si="7"/>
        <v>0</v>
      </c>
      <c r="AQ106" s="45">
        <f t="shared" si="8"/>
        <v>0</v>
      </c>
      <c r="AR106" s="45" t="str">
        <f t="shared" si="9"/>
        <v>#DIV/0!</v>
      </c>
      <c r="AT106" s="45">
        <f t="shared" si="10"/>
        <v>0</v>
      </c>
      <c r="AU106" s="45">
        <f t="shared" si="11"/>
        <v>0</v>
      </c>
      <c r="AV106" s="45" t="str">
        <f t="shared" si="12"/>
        <v>#DIV/0!</v>
      </c>
      <c r="AX106" s="45">
        <f t="shared" si="13"/>
        <v>0</v>
      </c>
      <c r="AY106" s="45">
        <f t="shared" si="14"/>
        <v>0</v>
      </c>
      <c r="AZ106" s="45" t="str">
        <f t="shared" si="15"/>
        <v>#DIV/0!</v>
      </c>
      <c r="BB106" s="45">
        <f t="shared" si="16"/>
        <v>0</v>
      </c>
      <c r="BC106" s="45">
        <f t="shared" si="17"/>
        <v>0</v>
      </c>
      <c r="BD106" s="45" t="str">
        <f t="shared" si="18"/>
        <v>#DIV/0!</v>
      </c>
    </row>
    <row r="107" ht="15.75" customHeight="1">
      <c r="A107" s="52">
        <v>97.0</v>
      </c>
      <c r="B107" s="167" t="str">
        <f>'IA Test only'!B108</f>
        <v/>
      </c>
      <c r="C107" s="168" t="str">
        <f>'IA Test only'!C108</f>
        <v/>
      </c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53">
        <f t="shared" si="1"/>
        <v>0</v>
      </c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52">
        <f t="shared" si="2"/>
        <v>0</v>
      </c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52">
        <f t="shared" si="3"/>
        <v>0</v>
      </c>
      <c r="AL107" s="45">
        <f t="shared" si="4"/>
        <v>0</v>
      </c>
      <c r="AM107" s="45">
        <f t="shared" si="5"/>
        <v>0</v>
      </c>
      <c r="AN107" s="45" t="str">
        <f t="shared" si="6"/>
        <v>#DIV/0!</v>
      </c>
      <c r="AP107" s="45">
        <f t="shared" si="7"/>
        <v>0</v>
      </c>
      <c r="AQ107" s="45">
        <f t="shared" si="8"/>
        <v>0</v>
      </c>
      <c r="AR107" s="45" t="str">
        <f t="shared" si="9"/>
        <v>#DIV/0!</v>
      </c>
      <c r="AT107" s="45">
        <f t="shared" si="10"/>
        <v>0</v>
      </c>
      <c r="AU107" s="45">
        <f t="shared" si="11"/>
        <v>0</v>
      </c>
      <c r="AV107" s="45" t="str">
        <f t="shared" si="12"/>
        <v>#DIV/0!</v>
      </c>
      <c r="AX107" s="45">
        <f t="shared" si="13"/>
        <v>0</v>
      </c>
      <c r="AY107" s="45">
        <f t="shared" si="14"/>
        <v>0</v>
      </c>
      <c r="AZ107" s="45" t="str">
        <f t="shared" si="15"/>
        <v>#DIV/0!</v>
      </c>
      <c r="BB107" s="45">
        <f t="shared" si="16"/>
        <v>0</v>
      </c>
      <c r="BC107" s="45">
        <f t="shared" si="17"/>
        <v>0</v>
      </c>
      <c r="BD107" s="45" t="str">
        <f t="shared" si="18"/>
        <v>#DIV/0!</v>
      </c>
    </row>
    <row r="108" ht="15.75" customHeight="1">
      <c r="A108" s="52">
        <v>98.0</v>
      </c>
      <c r="B108" s="167" t="str">
        <f>'IA Test only'!B109</f>
        <v/>
      </c>
      <c r="C108" s="168" t="str">
        <f>'IA Test only'!C109</f>
        <v/>
      </c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53">
        <f t="shared" si="1"/>
        <v>0</v>
      </c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52">
        <f t="shared" si="2"/>
        <v>0</v>
      </c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52">
        <f t="shared" si="3"/>
        <v>0</v>
      </c>
      <c r="AL108" s="45">
        <f t="shared" si="4"/>
        <v>0</v>
      </c>
      <c r="AM108" s="45">
        <f t="shared" si="5"/>
        <v>0</v>
      </c>
      <c r="AN108" s="45" t="str">
        <f t="shared" si="6"/>
        <v>#DIV/0!</v>
      </c>
      <c r="AP108" s="45">
        <f t="shared" si="7"/>
        <v>0</v>
      </c>
      <c r="AQ108" s="45">
        <f t="shared" si="8"/>
        <v>0</v>
      </c>
      <c r="AR108" s="45" t="str">
        <f t="shared" si="9"/>
        <v>#DIV/0!</v>
      </c>
      <c r="AT108" s="45">
        <f t="shared" si="10"/>
        <v>0</v>
      </c>
      <c r="AU108" s="45">
        <f t="shared" si="11"/>
        <v>0</v>
      </c>
      <c r="AV108" s="45" t="str">
        <f t="shared" si="12"/>
        <v>#DIV/0!</v>
      </c>
      <c r="AX108" s="45">
        <f t="shared" si="13"/>
        <v>0</v>
      </c>
      <c r="AY108" s="45">
        <f t="shared" si="14"/>
        <v>0</v>
      </c>
      <c r="AZ108" s="45" t="str">
        <f t="shared" si="15"/>
        <v>#DIV/0!</v>
      </c>
      <c r="BB108" s="45">
        <f t="shared" si="16"/>
        <v>0</v>
      </c>
      <c r="BC108" s="45">
        <f t="shared" si="17"/>
        <v>0</v>
      </c>
      <c r="BD108" s="45" t="str">
        <f t="shared" si="18"/>
        <v>#DIV/0!</v>
      </c>
    </row>
    <row r="109" ht="15.75" customHeight="1">
      <c r="A109" s="52">
        <v>99.0</v>
      </c>
      <c r="B109" s="167" t="str">
        <f>'IA Test only'!B110</f>
        <v/>
      </c>
      <c r="C109" s="168" t="str">
        <f>'IA Test only'!C110</f>
        <v/>
      </c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53">
        <f t="shared" si="1"/>
        <v>0</v>
      </c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52">
        <f t="shared" si="2"/>
        <v>0</v>
      </c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52">
        <f t="shared" si="3"/>
        <v>0</v>
      </c>
      <c r="AL109" s="45">
        <f t="shared" si="4"/>
        <v>0</v>
      </c>
      <c r="AM109" s="45">
        <f t="shared" si="5"/>
        <v>0</v>
      </c>
      <c r="AN109" s="45" t="str">
        <f t="shared" si="6"/>
        <v>#DIV/0!</v>
      </c>
      <c r="AP109" s="45">
        <f t="shared" si="7"/>
        <v>0</v>
      </c>
      <c r="AQ109" s="45">
        <f t="shared" si="8"/>
        <v>0</v>
      </c>
      <c r="AR109" s="45" t="str">
        <f t="shared" si="9"/>
        <v>#DIV/0!</v>
      </c>
      <c r="AT109" s="45">
        <f t="shared" si="10"/>
        <v>0</v>
      </c>
      <c r="AU109" s="45">
        <f t="shared" si="11"/>
        <v>0</v>
      </c>
      <c r="AV109" s="45" t="str">
        <f t="shared" si="12"/>
        <v>#DIV/0!</v>
      </c>
      <c r="AX109" s="45">
        <f t="shared" si="13"/>
        <v>0</v>
      </c>
      <c r="AY109" s="45">
        <f t="shared" si="14"/>
        <v>0</v>
      </c>
      <c r="AZ109" s="45" t="str">
        <f t="shared" si="15"/>
        <v>#DIV/0!</v>
      </c>
      <c r="BB109" s="45">
        <f t="shared" si="16"/>
        <v>0</v>
      </c>
      <c r="BC109" s="45">
        <f t="shared" si="17"/>
        <v>0</v>
      </c>
      <c r="BD109" s="45" t="str">
        <f t="shared" si="18"/>
        <v>#DIV/0!</v>
      </c>
    </row>
    <row r="110" ht="15.75" customHeight="1">
      <c r="A110" s="52">
        <v>100.0</v>
      </c>
      <c r="B110" s="167" t="str">
        <f>'IA Test only'!B111</f>
        <v/>
      </c>
      <c r="C110" s="168" t="str">
        <f>'IA Test only'!C111</f>
        <v/>
      </c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53">
        <f t="shared" si="1"/>
        <v>0</v>
      </c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52">
        <f t="shared" si="2"/>
        <v>0</v>
      </c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52">
        <f t="shared" si="3"/>
        <v>0</v>
      </c>
      <c r="AL110" s="45">
        <f t="shared" si="4"/>
        <v>0</v>
      </c>
      <c r="AM110" s="45">
        <f t="shared" si="5"/>
        <v>0</v>
      </c>
      <c r="AN110" s="45" t="str">
        <f t="shared" si="6"/>
        <v>#DIV/0!</v>
      </c>
      <c r="AP110" s="45">
        <f t="shared" si="7"/>
        <v>0</v>
      </c>
      <c r="AQ110" s="45">
        <f t="shared" si="8"/>
        <v>0</v>
      </c>
      <c r="AR110" s="45" t="str">
        <f t="shared" si="9"/>
        <v>#DIV/0!</v>
      </c>
      <c r="AT110" s="45">
        <f t="shared" si="10"/>
        <v>0</v>
      </c>
      <c r="AU110" s="45">
        <f t="shared" si="11"/>
        <v>0</v>
      </c>
      <c r="AV110" s="45" t="str">
        <f t="shared" si="12"/>
        <v>#DIV/0!</v>
      </c>
      <c r="AX110" s="45">
        <f t="shared" si="13"/>
        <v>0</v>
      </c>
      <c r="AY110" s="45">
        <f t="shared" si="14"/>
        <v>0</v>
      </c>
      <c r="AZ110" s="45" t="str">
        <f t="shared" si="15"/>
        <v>#DIV/0!</v>
      </c>
      <c r="BB110" s="45">
        <f t="shared" si="16"/>
        <v>0</v>
      </c>
      <c r="BC110" s="45">
        <f t="shared" si="17"/>
        <v>0</v>
      </c>
      <c r="BD110" s="45" t="str">
        <f t="shared" si="18"/>
        <v>#DIV/0!</v>
      </c>
    </row>
    <row r="111" ht="15.75" customHeight="1">
      <c r="A111" s="52">
        <v>101.0</v>
      </c>
      <c r="B111" s="167" t="str">
        <f>'IA Test only'!B112</f>
        <v/>
      </c>
      <c r="C111" s="168" t="str">
        <f>'IA Test only'!C112</f>
        <v/>
      </c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53">
        <f t="shared" si="1"/>
        <v>0</v>
      </c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52">
        <f t="shared" si="2"/>
        <v>0</v>
      </c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52">
        <f t="shared" si="3"/>
        <v>0</v>
      </c>
      <c r="AL111" s="45">
        <f t="shared" si="4"/>
        <v>0</v>
      </c>
      <c r="AM111" s="45">
        <f t="shared" si="5"/>
        <v>0</v>
      </c>
      <c r="AN111" s="45" t="str">
        <f t="shared" si="6"/>
        <v>#DIV/0!</v>
      </c>
      <c r="AP111" s="45">
        <f t="shared" si="7"/>
        <v>0</v>
      </c>
      <c r="AQ111" s="45">
        <f t="shared" si="8"/>
        <v>0</v>
      </c>
      <c r="AR111" s="45" t="str">
        <f t="shared" si="9"/>
        <v>#DIV/0!</v>
      </c>
      <c r="AT111" s="45">
        <f t="shared" si="10"/>
        <v>0</v>
      </c>
      <c r="AU111" s="45">
        <f t="shared" si="11"/>
        <v>0</v>
      </c>
      <c r="AV111" s="45" t="str">
        <f t="shared" si="12"/>
        <v>#DIV/0!</v>
      </c>
      <c r="AX111" s="45">
        <f t="shared" si="13"/>
        <v>0</v>
      </c>
      <c r="AY111" s="45">
        <f t="shared" si="14"/>
        <v>0</v>
      </c>
      <c r="AZ111" s="45" t="str">
        <f t="shared" si="15"/>
        <v>#DIV/0!</v>
      </c>
      <c r="BB111" s="45">
        <f t="shared" si="16"/>
        <v>0</v>
      </c>
      <c r="BC111" s="45">
        <f t="shared" si="17"/>
        <v>0</v>
      </c>
      <c r="BD111" s="45" t="str">
        <f t="shared" si="18"/>
        <v>#DIV/0!</v>
      </c>
    </row>
    <row r="112" ht="15.75" customHeight="1">
      <c r="A112" s="52">
        <v>102.0</v>
      </c>
      <c r="B112" s="167" t="str">
        <f>'IA Test only'!B113</f>
        <v/>
      </c>
      <c r="C112" s="168" t="str">
        <f>'IA Test only'!C113</f>
        <v/>
      </c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53">
        <f t="shared" si="1"/>
        <v>0</v>
      </c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52">
        <f t="shared" si="2"/>
        <v>0</v>
      </c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52">
        <f t="shared" si="3"/>
        <v>0</v>
      </c>
      <c r="AL112" s="45">
        <f t="shared" si="4"/>
        <v>0</v>
      </c>
      <c r="AM112" s="45">
        <f t="shared" si="5"/>
        <v>0</v>
      </c>
      <c r="AN112" s="45" t="str">
        <f t="shared" si="6"/>
        <v>#DIV/0!</v>
      </c>
      <c r="AP112" s="45">
        <f t="shared" si="7"/>
        <v>0</v>
      </c>
      <c r="AQ112" s="45">
        <f t="shared" si="8"/>
        <v>0</v>
      </c>
      <c r="AR112" s="45" t="str">
        <f t="shared" si="9"/>
        <v>#DIV/0!</v>
      </c>
      <c r="AT112" s="45">
        <f t="shared" si="10"/>
        <v>0</v>
      </c>
      <c r="AU112" s="45">
        <f t="shared" si="11"/>
        <v>0</v>
      </c>
      <c r="AV112" s="45" t="str">
        <f t="shared" si="12"/>
        <v>#DIV/0!</v>
      </c>
      <c r="AX112" s="45">
        <f t="shared" si="13"/>
        <v>0</v>
      </c>
      <c r="AY112" s="45">
        <f t="shared" si="14"/>
        <v>0</v>
      </c>
      <c r="AZ112" s="45" t="str">
        <f t="shared" si="15"/>
        <v>#DIV/0!</v>
      </c>
      <c r="BB112" s="45">
        <f t="shared" si="16"/>
        <v>0</v>
      </c>
      <c r="BC112" s="45">
        <f t="shared" si="17"/>
        <v>0</v>
      </c>
      <c r="BD112" s="45" t="str">
        <f t="shared" si="18"/>
        <v>#DIV/0!</v>
      </c>
    </row>
    <row r="113" ht="15.75" customHeight="1">
      <c r="A113" s="52">
        <v>103.0</v>
      </c>
      <c r="B113" s="167" t="str">
        <f>'IA Test only'!B114</f>
        <v/>
      </c>
      <c r="C113" s="168" t="str">
        <f>'IA Test only'!C114</f>
        <v/>
      </c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53">
        <f t="shared" si="1"/>
        <v>0</v>
      </c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52">
        <f t="shared" si="2"/>
        <v>0</v>
      </c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52">
        <f t="shared" si="3"/>
        <v>0</v>
      </c>
      <c r="AL113" s="45">
        <f t="shared" si="4"/>
        <v>0</v>
      </c>
      <c r="AM113" s="45">
        <f t="shared" si="5"/>
        <v>0</v>
      </c>
      <c r="AN113" s="45" t="str">
        <f t="shared" si="6"/>
        <v>#DIV/0!</v>
      </c>
      <c r="AP113" s="45">
        <f t="shared" si="7"/>
        <v>0</v>
      </c>
      <c r="AQ113" s="45">
        <f t="shared" si="8"/>
        <v>0</v>
      </c>
      <c r="AR113" s="45" t="str">
        <f t="shared" si="9"/>
        <v>#DIV/0!</v>
      </c>
      <c r="AT113" s="45">
        <f t="shared" si="10"/>
        <v>0</v>
      </c>
      <c r="AU113" s="45">
        <f t="shared" si="11"/>
        <v>0</v>
      </c>
      <c r="AV113" s="45" t="str">
        <f t="shared" si="12"/>
        <v>#DIV/0!</v>
      </c>
      <c r="AX113" s="45">
        <f t="shared" si="13"/>
        <v>0</v>
      </c>
      <c r="AY113" s="45">
        <f t="shared" si="14"/>
        <v>0</v>
      </c>
      <c r="AZ113" s="45" t="str">
        <f t="shared" si="15"/>
        <v>#DIV/0!</v>
      </c>
      <c r="BB113" s="45">
        <f t="shared" si="16"/>
        <v>0</v>
      </c>
      <c r="BC113" s="45">
        <f t="shared" si="17"/>
        <v>0</v>
      </c>
      <c r="BD113" s="45" t="str">
        <f t="shared" si="18"/>
        <v>#DIV/0!</v>
      </c>
    </row>
    <row r="114" ht="15.75" customHeight="1">
      <c r="A114" s="52">
        <v>104.0</v>
      </c>
      <c r="B114" s="167" t="str">
        <f>'IA Test only'!B115</f>
        <v/>
      </c>
      <c r="C114" s="168" t="str">
        <f>'IA Test only'!C115</f>
        <v/>
      </c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53">
        <f t="shared" si="1"/>
        <v>0</v>
      </c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52">
        <f t="shared" si="2"/>
        <v>0</v>
      </c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52">
        <f t="shared" si="3"/>
        <v>0</v>
      </c>
      <c r="AL114" s="45">
        <f t="shared" si="4"/>
        <v>0</v>
      </c>
      <c r="AM114" s="45">
        <f t="shared" si="5"/>
        <v>0</v>
      </c>
      <c r="AN114" s="45" t="str">
        <f t="shared" si="6"/>
        <v>#DIV/0!</v>
      </c>
      <c r="AP114" s="45">
        <f t="shared" si="7"/>
        <v>0</v>
      </c>
      <c r="AQ114" s="45">
        <f t="shared" si="8"/>
        <v>0</v>
      </c>
      <c r="AR114" s="45" t="str">
        <f t="shared" si="9"/>
        <v>#DIV/0!</v>
      </c>
      <c r="AT114" s="45">
        <f t="shared" si="10"/>
        <v>0</v>
      </c>
      <c r="AU114" s="45">
        <f t="shared" si="11"/>
        <v>0</v>
      </c>
      <c r="AV114" s="45" t="str">
        <f t="shared" si="12"/>
        <v>#DIV/0!</v>
      </c>
      <c r="AX114" s="45">
        <f t="shared" si="13"/>
        <v>0</v>
      </c>
      <c r="AY114" s="45">
        <f t="shared" si="14"/>
        <v>0</v>
      </c>
      <c r="AZ114" s="45" t="str">
        <f t="shared" si="15"/>
        <v>#DIV/0!</v>
      </c>
      <c r="BB114" s="45">
        <f t="shared" si="16"/>
        <v>0</v>
      </c>
      <c r="BC114" s="45">
        <f t="shared" si="17"/>
        <v>0</v>
      </c>
      <c r="BD114" s="45" t="str">
        <f t="shared" si="18"/>
        <v>#DIV/0!</v>
      </c>
    </row>
    <row r="115" ht="15.75" customHeight="1">
      <c r="A115" s="52">
        <v>105.0</v>
      </c>
      <c r="B115" s="167" t="str">
        <f>'IA Test only'!B116</f>
        <v/>
      </c>
      <c r="C115" s="168" t="str">
        <f>'IA Test only'!C116</f>
        <v/>
      </c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53">
        <f t="shared" si="1"/>
        <v>0</v>
      </c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52">
        <f t="shared" si="2"/>
        <v>0</v>
      </c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52">
        <f t="shared" si="3"/>
        <v>0</v>
      </c>
      <c r="AL115" s="45">
        <f t="shared" si="4"/>
        <v>0</v>
      </c>
      <c r="AM115" s="45">
        <f t="shared" si="5"/>
        <v>0</v>
      </c>
      <c r="AN115" s="45" t="str">
        <f t="shared" si="6"/>
        <v>#DIV/0!</v>
      </c>
      <c r="AP115" s="45">
        <f t="shared" si="7"/>
        <v>0</v>
      </c>
      <c r="AQ115" s="45">
        <f t="shared" si="8"/>
        <v>0</v>
      </c>
      <c r="AR115" s="45" t="str">
        <f t="shared" si="9"/>
        <v>#DIV/0!</v>
      </c>
      <c r="AT115" s="45">
        <f t="shared" si="10"/>
        <v>0</v>
      </c>
      <c r="AU115" s="45">
        <f t="shared" si="11"/>
        <v>0</v>
      </c>
      <c r="AV115" s="45" t="str">
        <f t="shared" si="12"/>
        <v>#DIV/0!</v>
      </c>
      <c r="AX115" s="45">
        <f t="shared" si="13"/>
        <v>0</v>
      </c>
      <c r="AY115" s="45">
        <f t="shared" si="14"/>
        <v>0</v>
      </c>
      <c r="AZ115" s="45" t="str">
        <f t="shared" si="15"/>
        <v>#DIV/0!</v>
      </c>
      <c r="BB115" s="45">
        <f t="shared" si="16"/>
        <v>0</v>
      </c>
      <c r="BC115" s="45">
        <f t="shared" si="17"/>
        <v>0</v>
      </c>
      <c r="BD115" s="45" t="str">
        <f t="shared" si="18"/>
        <v>#DIV/0!</v>
      </c>
    </row>
    <row r="116" ht="15.75" customHeight="1">
      <c r="A116" s="52">
        <v>106.0</v>
      </c>
      <c r="B116" s="167" t="str">
        <f>'IA Test only'!B117</f>
        <v/>
      </c>
      <c r="C116" s="168" t="str">
        <f>'IA Test only'!C117</f>
        <v/>
      </c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53">
        <f t="shared" si="1"/>
        <v>0</v>
      </c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52">
        <f t="shared" si="2"/>
        <v>0</v>
      </c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52">
        <f t="shared" si="3"/>
        <v>0</v>
      </c>
      <c r="AL116" s="45">
        <f t="shared" si="4"/>
        <v>0</v>
      </c>
      <c r="AM116" s="45">
        <f t="shared" si="5"/>
        <v>0</v>
      </c>
      <c r="AN116" s="45" t="str">
        <f t="shared" si="6"/>
        <v>#DIV/0!</v>
      </c>
      <c r="AP116" s="45">
        <f t="shared" si="7"/>
        <v>0</v>
      </c>
      <c r="AQ116" s="45">
        <f t="shared" si="8"/>
        <v>0</v>
      </c>
      <c r="AR116" s="45" t="str">
        <f t="shared" si="9"/>
        <v>#DIV/0!</v>
      </c>
      <c r="AT116" s="45">
        <f t="shared" si="10"/>
        <v>0</v>
      </c>
      <c r="AU116" s="45">
        <f t="shared" si="11"/>
        <v>0</v>
      </c>
      <c r="AV116" s="45" t="str">
        <f t="shared" si="12"/>
        <v>#DIV/0!</v>
      </c>
      <c r="AX116" s="45">
        <f t="shared" si="13"/>
        <v>0</v>
      </c>
      <c r="AY116" s="45">
        <f t="shared" si="14"/>
        <v>0</v>
      </c>
      <c r="AZ116" s="45" t="str">
        <f t="shared" si="15"/>
        <v>#DIV/0!</v>
      </c>
      <c r="BB116" s="45">
        <f t="shared" si="16"/>
        <v>0</v>
      </c>
      <c r="BC116" s="45">
        <f t="shared" si="17"/>
        <v>0</v>
      </c>
      <c r="BD116" s="45" t="str">
        <f t="shared" si="18"/>
        <v>#DIV/0!</v>
      </c>
    </row>
    <row r="117" ht="15.75" customHeight="1">
      <c r="A117" s="52">
        <v>107.0</v>
      </c>
      <c r="B117" s="167" t="str">
        <f>'IA Test only'!B118</f>
        <v/>
      </c>
      <c r="C117" s="168" t="str">
        <f>'IA Test only'!C118</f>
        <v/>
      </c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53">
        <f t="shared" si="1"/>
        <v>0</v>
      </c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52">
        <f t="shared" si="2"/>
        <v>0</v>
      </c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52">
        <f t="shared" si="3"/>
        <v>0</v>
      </c>
      <c r="AL117" s="45">
        <f t="shared" si="4"/>
        <v>0</v>
      </c>
      <c r="AM117" s="45">
        <f t="shared" si="5"/>
        <v>0</v>
      </c>
      <c r="AN117" s="45" t="str">
        <f t="shared" si="6"/>
        <v>#DIV/0!</v>
      </c>
      <c r="AP117" s="45">
        <f t="shared" si="7"/>
        <v>0</v>
      </c>
      <c r="AQ117" s="45">
        <f t="shared" si="8"/>
        <v>0</v>
      </c>
      <c r="AR117" s="45" t="str">
        <f t="shared" si="9"/>
        <v>#DIV/0!</v>
      </c>
      <c r="AT117" s="45">
        <f t="shared" si="10"/>
        <v>0</v>
      </c>
      <c r="AU117" s="45">
        <f t="shared" si="11"/>
        <v>0</v>
      </c>
      <c r="AV117" s="45" t="str">
        <f t="shared" si="12"/>
        <v>#DIV/0!</v>
      </c>
      <c r="AX117" s="45">
        <f t="shared" si="13"/>
        <v>0</v>
      </c>
      <c r="AY117" s="45">
        <f t="shared" si="14"/>
        <v>0</v>
      </c>
      <c r="AZ117" s="45" t="str">
        <f t="shared" si="15"/>
        <v>#DIV/0!</v>
      </c>
      <c r="BB117" s="45">
        <f t="shared" si="16"/>
        <v>0</v>
      </c>
      <c r="BC117" s="45">
        <f t="shared" si="17"/>
        <v>0</v>
      </c>
      <c r="BD117" s="45" t="str">
        <f t="shared" si="18"/>
        <v>#DIV/0!</v>
      </c>
    </row>
    <row r="118" ht="15.75" customHeight="1">
      <c r="A118" s="52">
        <v>108.0</v>
      </c>
      <c r="B118" s="167" t="str">
        <f>'IA Test only'!B119</f>
        <v/>
      </c>
      <c r="C118" s="168" t="str">
        <f>'IA Test only'!C119</f>
        <v/>
      </c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53">
        <f t="shared" si="1"/>
        <v>0</v>
      </c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52">
        <f t="shared" si="2"/>
        <v>0</v>
      </c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52">
        <f t="shared" si="3"/>
        <v>0</v>
      </c>
      <c r="AL118" s="45">
        <f t="shared" si="4"/>
        <v>0</v>
      </c>
      <c r="AM118" s="45">
        <f t="shared" si="5"/>
        <v>0</v>
      </c>
      <c r="AN118" s="45" t="str">
        <f t="shared" si="6"/>
        <v>#DIV/0!</v>
      </c>
      <c r="AP118" s="45">
        <f t="shared" si="7"/>
        <v>0</v>
      </c>
      <c r="AQ118" s="45">
        <f t="shared" si="8"/>
        <v>0</v>
      </c>
      <c r="AR118" s="45" t="str">
        <f t="shared" si="9"/>
        <v>#DIV/0!</v>
      </c>
      <c r="AT118" s="45">
        <f t="shared" si="10"/>
        <v>0</v>
      </c>
      <c r="AU118" s="45">
        <f t="shared" si="11"/>
        <v>0</v>
      </c>
      <c r="AV118" s="45" t="str">
        <f t="shared" si="12"/>
        <v>#DIV/0!</v>
      </c>
      <c r="AX118" s="45">
        <f t="shared" si="13"/>
        <v>0</v>
      </c>
      <c r="AY118" s="45">
        <f t="shared" si="14"/>
        <v>0</v>
      </c>
      <c r="AZ118" s="45" t="str">
        <f t="shared" si="15"/>
        <v>#DIV/0!</v>
      </c>
      <c r="BB118" s="45">
        <f t="shared" si="16"/>
        <v>0</v>
      </c>
      <c r="BC118" s="45">
        <f t="shared" si="17"/>
        <v>0</v>
      </c>
      <c r="BD118" s="45" t="str">
        <f t="shared" si="18"/>
        <v>#DIV/0!</v>
      </c>
    </row>
    <row r="119" ht="15.75" customHeight="1">
      <c r="A119" s="52">
        <v>109.0</v>
      </c>
      <c r="B119" s="167" t="str">
        <f>'IA Test only'!B120</f>
        <v/>
      </c>
      <c r="C119" s="168" t="str">
        <f>'IA Test only'!C120</f>
        <v/>
      </c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53">
        <f t="shared" si="1"/>
        <v>0</v>
      </c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52">
        <f t="shared" si="2"/>
        <v>0</v>
      </c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52">
        <f t="shared" si="3"/>
        <v>0</v>
      </c>
      <c r="AL119" s="45">
        <f t="shared" si="4"/>
        <v>0</v>
      </c>
      <c r="AM119" s="45">
        <f t="shared" si="5"/>
        <v>0</v>
      </c>
      <c r="AN119" s="45" t="str">
        <f t="shared" si="6"/>
        <v>#DIV/0!</v>
      </c>
      <c r="AP119" s="45">
        <f t="shared" si="7"/>
        <v>0</v>
      </c>
      <c r="AQ119" s="45">
        <f t="shared" si="8"/>
        <v>0</v>
      </c>
      <c r="AR119" s="45" t="str">
        <f t="shared" si="9"/>
        <v>#DIV/0!</v>
      </c>
      <c r="AT119" s="45">
        <f t="shared" si="10"/>
        <v>0</v>
      </c>
      <c r="AU119" s="45">
        <f t="shared" si="11"/>
        <v>0</v>
      </c>
      <c r="AV119" s="45" t="str">
        <f t="shared" si="12"/>
        <v>#DIV/0!</v>
      </c>
      <c r="AX119" s="45">
        <f t="shared" si="13"/>
        <v>0</v>
      </c>
      <c r="AY119" s="45">
        <f t="shared" si="14"/>
        <v>0</v>
      </c>
      <c r="AZ119" s="45" t="str">
        <f t="shared" si="15"/>
        <v>#DIV/0!</v>
      </c>
      <c r="BB119" s="45">
        <f t="shared" si="16"/>
        <v>0</v>
      </c>
      <c r="BC119" s="45">
        <f t="shared" si="17"/>
        <v>0</v>
      </c>
      <c r="BD119" s="45" t="str">
        <f t="shared" si="18"/>
        <v>#DIV/0!</v>
      </c>
    </row>
    <row r="120" ht="15.75" customHeight="1">
      <c r="A120" s="52">
        <v>110.0</v>
      </c>
      <c r="B120" s="167" t="str">
        <f>'IA Test only'!B121</f>
        <v/>
      </c>
      <c r="C120" s="168" t="str">
        <f>'IA Test only'!C121</f>
        <v/>
      </c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53">
        <f t="shared" si="1"/>
        <v>0</v>
      </c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52">
        <f t="shared" si="2"/>
        <v>0</v>
      </c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52">
        <f t="shared" si="3"/>
        <v>0</v>
      </c>
      <c r="AL120" s="45">
        <f t="shared" si="4"/>
        <v>0</v>
      </c>
      <c r="AM120" s="45">
        <f t="shared" si="5"/>
        <v>0</v>
      </c>
      <c r="AN120" s="45" t="str">
        <f t="shared" si="6"/>
        <v>#DIV/0!</v>
      </c>
      <c r="AP120" s="45">
        <f t="shared" si="7"/>
        <v>0</v>
      </c>
      <c r="AQ120" s="45">
        <f t="shared" si="8"/>
        <v>0</v>
      </c>
      <c r="AR120" s="45" t="str">
        <f t="shared" si="9"/>
        <v>#DIV/0!</v>
      </c>
      <c r="AT120" s="45">
        <f t="shared" si="10"/>
        <v>0</v>
      </c>
      <c r="AU120" s="45">
        <f t="shared" si="11"/>
        <v>0</v>
      </c>
      <c r="AV120" s="45" t="str">
        <f t="shared" si="12"/>
        <v>#DIV/0!</v>
      </c>
      <c r="AX120" s="45">
        <f t="shared" si="13"/>
        <v>0</v>
      </c>
      <c r="AY120" s="45">
        <f t="shared" si="14"/>
        <v>0</v>
      </c>
      <c r="AZ120" s="45" t="str">
        <f t="shared" si="15"/>
        <v>#DIV/0!</v>
      </c>
      <c r="BB120" s="45">
        <f t="shared" si="16"/>
        <v>0</v>
      </c>
      <c r="BC120" s="45">
        <f t="shared" si="17"/>
        <v>0</v>
      </c>
      <c r="BD120" s="45" t="str">
        <f t="shared" si="18"/>
        <v>#DIV/0!</v>
      </c>
    </row>
    <row r="121" ht="15.75" customHeight="1">
      <c r="A121" s="52">
        <v>111.0</v>
      </c>
      <c r="B121" s="167" t="str">
        <f>'IA Test only'!B122</f>
        <v/>
      </c>
      <c r="C121" s="168" t="str">
        <f>'IA Test only'!C122</f>
        <v/>
      </c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53">
        <f t="shared" si="1"/>
        <v>0</v>
      </c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52">
        <f t="shared" si="2"/>
        <v>0</v>
      </c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52">
        <f t="shared" si="3"/>
        <v>0</v>
      </c>
      <c r="AL121" s="45">
        <f t="shared" si="4"/>
        <v>0</v>
      </c>
      <c r="AM121" s="45">
        <f t="shared" si="5"/>
        <v>0</v>
      </c>
      <c r="AN121" s="45" t="str">
        <f t="shared" si="6"/>
        <v>#DIV/0!</v>
      </c>
      <c r="AP121" s="45">
        <f t="shared" si="7"/>
        <v>0</v>
      </c>
      <c r="AQ121" s="45">
        <f t="shared" si="8"/>
        <v>0</v>
      </c>
      <c r="AR121" s="45" t="str">
        <f t="shared" si="9"/>
        <v>#DIV/0!</v>
      </c>
      <c r="AT121" s="45">
        <f t="shared" si="10"/>
        <v>0</v>
      </c>
      <c r="AU121" s="45">
        <f t="shared" si="11"/>
        <v>0</v>
      </c>
      <c r="AV121" s="45" t="str">
        <f t="shared" si="12"/>
        <v>#DIV/0!</v>
      </c>
      <c r="AX121" s="45">
        <f t="shared" si="13"/>
        <v>0</v>
      </c>
      <c r="AY121" s="45">
        <f t="shared" si="14"/>
        <v>0</v>
      </c>
      <c r="AZ121" s="45" t="str">
        <f t="shared" si="15"/>
        <v>#DIV/0!</v>
      </c>
      <c r="BB121" s="45">
        <f t="shared" si="16"/>
        <v>0</v>
      </c>
      <c r="BC121" s="45">
        <f t="shared" si="17"/>
        <v>0</v>
      </c>
      <c r="BD121" s="45" t="str">
        <f t="shared" si="18"/>
        <v>#DIV/0!</v>
      </c>
    </row>
    <row r="122" ht="15.75" customHeight="1">
      <c r="A122" s="52">
        <v>112.0</v>
      </c>
      <c r="B122" s="167" t="str">
        <f>'IA Test only'!B123</f>
        <v/>
      </c>
      <c r="C122" s="168" t="str">
        <f>'IA Test only'!C123</f>
        <v/>
      </c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53">
        <f t="shared" si="1"/>
        <v>0</v>
      </c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52">
        <f t="shared" si="2"/>
        <v>0</v>
      </c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52">
        <f t="shared" si="3"/>
        <v>0</v>
      </c>
      <c r="AL122" s="45">
        <f t="shared" si="4"/>
        <v>0</v>
      </c>
      <c r="AM122" s="45">
        <f t="shared" si="5"/>
        <v>0</v>
      </c>
      <c r="AN122" s="45" t="str">
        <f t="shared" si="6"/>
        <v>#DIV/0!</v>
      </c>
      <c r="AP122" s="45">
        <f t="shared" si="7"/>
        <v>0</v>
      </c>
      <c r="AQ122" s="45">
        <f t="shared" si="8"/>
        <v>0</v>
      </c>
      <c r="AR122" s="45" t="str">
        <f t="shared" si="9"/>
        <v>#DIV/0!</v>
      </c>
      <c r="AT122" s="45">
        <f t="shared" si="10"/>
        <v>0</v>
      </c>
      <c r="AU122" s="45">
        <f t="shared" si="11"/>
        <v>0</v>
      </c>
      <c r="AV122" s="45" t="str">
        <f t="shared" si="12"/>
        <v>#DIV/0!</v>
      </c>
      <c r="AX122" s="45">
        <f t="shared" si="13"/>
        <v>0</v>
      </c>
      <c r="AY122" s="45">
        <f t="shared" si="14"/>
        <v>0</v>
      </c>
      <c r="AZ122" s="45" t="str">
        <f t="shared" si="15"/>
        <v>#DIV/0!</v>
      </c>
      <c r="BB122" s="45">
        <f t="shared" si="16"/>
        <v>0</v>
      </c>
      <c r="BC122" s="45">
        <f t="shared" si="17"/>
        <v>0</v>
      </c>
      <c r="BD122" s="45" t="str">
        <f t="shared" si="18"/>
        <v>#DIV/0!</v>
      </c>
    </row>
    <row r="123" ht="15.75" customHeight="1">
      <c r="A123" s="52">
        <v>113.0</v>
      </c>
      <c r="B123" s="167" t="str">
        <f>'IA Test only'!B124</f>
        <v/>
      </c>
      <c r="C123" s="168" t="str">
        <f>'IA Test only'!C124</f>
        <v/>
      </c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53">
        <f t="shared" si="1"/>
        <v>0</v>
      </c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52">
        <f t="shared" si="2"/>
        <v>0</v>
      </c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52">
        <f t="shared" si="3"/>
        <v>0</v>
      </c>
      <c r="AL123" s="45">
        <f t="shared" si="4"/>
        <v>0</v>
      </c>
      <c r="AM123" s="45">
        <f t="shared" si="5"/>
        <v>0</v>
      </c>
      <c r="AN123" s="45" t="str">
        <f t="shared" si="6"/>
        <v>#DIV/0!</v>
      </c>
      <c r="AP123" s="45">
        <f t="shared" si="7"/>
        <v>0</v>
      </c>
      <c r="AQ123" s="45">
        <f t="shared" si="8"/>
        <v>0</v>
      </c>
      <c r="AR123" s="45" t="str">
        <f t="shared" si="9"/>
        <v>#DIV/0!</v>
      </c>
      <c r="AT123" s="45">
        <f t="shared" si="10"/>
        <v>0</v>
      </c>
      <c r="AU123" s="45">
        <f t="shared" si="11"/>
        <v>0</v>
      </c>
      <c r="AV123" s="45" t="str">
        <f t="shared" si="12"/>
        <v>#DIV/0!</v>
      </c>
      <c r="AX123" s="45">
        <f t="shared" si="13"/>
        <v>0</v>
      </c>
      <c r="AY123" s="45">
        <f t="shared" si="14"/>
        <v>0</v>
      </c>
      <c r="AZ123" s="45" t="str">
        <f t="shared" si="15"/>
        <v>#DIV/0!</v>
      </c>
      <c r="BB123" s="45">
        <f t="shared" si="16"/>
        <v>0</v>
      </c>
      <c r="BC123" s="45">
        <f t="shared" si="17"/>
        <v>0</v>
      </c>
      <c r="BD123" s="45" t="str">
        <f t="shared" si="18"/>
        <v>#DIV/0!</v>
      </c>
    </row>
    <row r="124" ht="15.75" customHeight="1">
      <c r="A124" s="52">
        <v>114.0</v>
      </c>
      <c r="B124" s="167" t="str">
        <f>'IA Test only'!B125</f>
        <v/>
      </c>
      <c r="C124" s="168" t="str">
        <f>'IA Test only'!C125</f>
        <v/>
      </c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53">
        <f t="shared" si="1"/>
        <v>0</v>
      </c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52">
        <f t="shared" si="2"/>
        <v>0</v>
      </c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52">
        <f t="shared" si="3"/>
        <v>0</v>
      </c>
      <c r="AL124" s="45">
        <f t="shared" si="4"/>
        <v>0</v>
      </c>
      <c r="AM124" s="45">
        <f t="shared" si="5"/>
        <v>0</v>
      </c>
      <c r="AN124" s="45" t="str">
        <f t="shared" si="6"/>
        <v>#DIV/0!</v>
      </c>
      <c r="AP124" s="45">
        <f t="shared" si="7"/>
        <v>0</v>
      </c>
      <c r="AQ124" s="45">
        <f t="shared" si="8"/>
        <v>0</v>
      </c>
      <c r="AR124" s="45" t="str">
        <f t="shared" si="9"/>
        <v>#DIV/0!</v>
      </c>
      <c r="AT124" s="45">
        <f t="shared" si="10"/>
        <v>0</v>
      </c>
      <c r="AU124" s="45">
        <f t="shared" si="11"/>
        <v>0</v>
      </c>
      <c r="AV124" s="45" t="str">
        <f t="shared" si="12"/>
        <v>#DIV/0!</v>
      </c>
      <c r="AX124" s="45">
        <f t="shared" si="13"/>
        <v>0</v>
      </c>
      <c r="AY124" s="45">
        <f t="shared" si="14"/>
        <v>0</v>
      </c>
      <c r="AZ124" s="45" t="str">
        <f t="shared" si="15"/>
        <v>#DIV/0!</v>
      </c>
      <c r="BB124" s="45">
        <f t="shared" si="16"/>
        <v>0</v>
      </c>
      <c r="BC124" s="45">
        <f t="shared" si="17"/>
        <v>0</v>
      </c>
      <c r="BD124" s="45" t="str">
        <f t="shared" si="18"/>
        <v>#DIV/0!</v>
      </c>
    </row>
    <row r="125" ht="15.75" customHeight="1">
      <c r="A125" s="52">
        <v>115.0</v>
      </c>
      <c r="B125" s="167" t="str">
        <f>'IA Test only'!B126</f>
        <v/>
      </c>
      <c r="C125" s="168" t="str">
        <f>'IA Test only'!C126</f>
        <v/>
      </c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53">
        <f t="shared" si="1"/>
        <v>0</v>
      </c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52">
        <f t="shared" si="2"/>
        <v>0</v>
      </c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52">
        <f t="shared" si="3"/>
        <v>0</v>
      </c>
      <c r="AL125" s="45">
        <f t="shared" si="4"/>
        <v>0</v>
      </c>
      <c r="AM125" s="45">
        <f t="shared" si="5"/>
        <v>0</v>
      </c>
      <c r="AN125" s="45" t="str">
        <f t="shared" si="6"/>
        <v>#DIV/0!</v>
      </c>
      <c r="AP125" s="45">
        <f t="shared" si="7"/>
        <v>0</v>
      </c>
      <c r="AQ125" s="45">
        <f t="shared" si="8"/>
        <v>0</v>
      </c>
      <c r="AR125" s="45" t="str">
        <f t="shared" si="9"/>
        <v>#DIV/0!</v>
      </c>
      <c r="AT125" s="45">
        <f t="shared" si="10"/>
        <v>0</v>
      </c>
      <c r="AU125" s="45">
        <f t="shared" si="11"/>
        <v>0</v>
      </c>
      <c r="AV125" s="45" t="str">
        <f t="shared" si="12"/>
        <v>#DIV/0!</v>
      </c>
      <c r="AX125" s="45">
        <f t="shared" si="13"/>
        <v>0</v>
      </c>
      <c r="AY125" s="45">
        <f t="shared" si="14"/>
        <v>0</v>
      </c>
      <c r="AZ125" s="45" t="str">
        <f t="shared" si="15"/>
        <v>#DIV/0!</v>
      </c>
      <c r="BB125" s="45">
        <f t="shared" si="16"/>
        <v>0</v>
      </c>
      <c r="BC125" s="45">
        <f t="shared" si="17"/>
        <v>0</v>
      </c>
      <c r="BD125" s="45" t="str">
        <f t="shared" si="18"/>
        <v>#DIV/0!</v>
      </c>
    </row>
    <row r="126" ht="15.75" customHeight="1">
      <c r="A126" s="52">
        <v>116.0</v>
      </c>
      <c r="B126" s="167" t="str">
        <f>'IA Test only'!B127</f>
        <v/>
      </c>
      <c r="C126" s="168" t="str">
        <f>'IA Test only'!C127</f>
        <v/>
      </c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53">
        <f t="shared" si="1"/>
        <v>0</v>
      </c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52">
        <f t="shared" si="2"/>
        <v>0</v>
      </c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52">
        <f t="shared" si="3"/>
        <v>0</v>
      </c>
      <c r="AL126" s="45">
        <f t="shared" si="4"/>
        <v>0</v>
      </c>
      <c r="AM126" s="45">
        <f t="shared" si="5"/>
        <v>0</v>
      </c>
      <c r="AN126" s="45" t="str">
        <f t="shared" si="6"/>
        <v>#DIV/0!</v>
      </c>
      <c r="AP126" s="45">
        <f t="shared" si="7"/>
        <v>0</v>
      </c>
      <c r="AQ126" s="45">
        <f t="shared" si="8"/>
        <v>0</v>
      </c>
      <c r="AR126" s="45" t="str">
        <f t="shared" si="9"/>
        <v>#DIV/0!</v>
      </c>
      <c r="AT126" s="45">
        <f t="shared" si="10"/>
        <v>0</v>
      </c>
      <c r="AU126" s="45">
        <f t="shared" si="11"/>
        <v>0</v>
      </c>
      <c r="AV126" s="45" t="str">
        <f t="shared" si="12"/>
        <v>#DIV/0!</v>
      </c>
      <c r="AX126" s="45">
        <f t="shared" si="13"/>
        <v>0</v>
      </c>
      <c r="AY126" s="45">
        <f t="shared" si="14"/>
        <v>0</v>
      </c>
      <c r="AZ126" s="45" t="str">
        <f t="shared" si="15"/>
        <v>#DIV/0!</v>
      </c>
      <c r="BB126" s="45">
        <f t="shared" si="16"/>
        <v>0</v>
      </c>
      <c r="BC126" s="45">
        <f t="shared" si="17"/>
        <v>0</v>
      </c>
      <c r="BD126" s="45" t="str">
        <f t="shared" si="18"/>
        <v>#DIV/0!</v>
      </c>
    </row>
    <row r="127" ht="15.75" customHeight="1">
      <c r="A127" s="52">
        <v>117.0</v>
      </c>
      <c r="B127" s="167" t="str">
        <f>'IA Test only'!B128</f>
        <v/>
      </c>
      <c r="C127" s="168" t="str">
        <f>'IA Test only'!C128</f>
        <v/>
      </c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53">
        <f t="shared" si="1"/>
        <v>0</v>
      </c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52">
        <f t="shared" si="2"/>
        <v>0</v>
      </c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52">
        <f t="shared" si="3"/>
        <v>0</v>
      </c>
      <c r="AL127" s="45">
        <f t="shared" si="4"/>
        <v>0</v>
      </c>
      <c r="AM127" s="45">
        <f t="shared" si="5"/>
        <v>0</v>
      </c>
      <c r="AN127" s="45" t="str">
        <f t="shared" si="6"/>
        <v>#DIV/0!</v>
      </c>
      <c r="AP127" s="45">
        <f t="shared" si="7"/>
        <v>0</v>
      </c>
      <c r="AQ127" s="45">
        <f t="shared" si="8"/>
        <v>0</v>
      </c>
      <c r="AR127" s="45" t="str">
        <f t="shared" si="9"/>
        <v>#DIV/0!</v>
      </c>
      <c r="AT127" s="45">
        <f t="shared" si="10"/>
        <v>0</v>
      </c>
      <c r="AU127" s="45">
        <f t="shared" si="11"/>
        <v>0</v>
      </c>
      <c r="AV127" s="45" t="str">
        <f t="shared" si="12"/>
        <v>#DIV/0!</v>
      </c>
      <c r="AX127" s="45">
        <f t="shared" si="13"/>
        <v>0</v>
      </c>
      <c r="AY127" s="45">
        <f t="shared" si="14"/>
        <v>0</v>
      </c>
      <c r="AZ127" s="45" t="str">
        <f t="shared" si="15"/>
        <v>#DIV/0!</v>
      </c>
      <c r="BB127" s="45">
        <f t="shared" si="16"/>
        <v>0</v>
      </c>
      <c r="BC127" s="45">
        <f t="shared" si="17"/>
        <v>0</v>
      </c>
      <c r="BD127" s="45" t="str">
        <f t="shared" si="18"/>
        <v>#DIV/0!</v>
      </c>
    </row>
    <row r="128" ht="15.75" customHeight="1">
      <c r="A128" s="52">
        <v>118.0</v>
      </c>
      <c r="B128" s="167" t="str">
        <f>'IA Test only'!B129</f>
        <v/>
      </c>
      <c r="C128" s="168" t="str">
        <f>'IA Test only'!C129</f>
        <v/>
      </c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53">
        <f t="shared" si="1"/>
        <v>0</v>
      </c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52">
        <f t="shared" si="2"/>
        <v>0</v>
      </c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52">
        <f t="shared" si="3"/>
        <v>0</v>
      </c>
      <c r="AL128" s="45">
        <f t="shared" si="4"/>
        <v>0</v>
      </c>
      <c r="AM128" s="45">
        <f t="shared" si="5"/>
        <v>0</v>
      </c>
      <c r="AN128" s="45" t="str">
        <f t="shared" si="6"/>
        <v>#DIV/0!</v>
      </c>
      <c r="AP128" s="45">
        <f t="shared" si="7"/>
        <v>0</v>
      </c>
      <c r="AQ128" s="45">
        <f t="shared" si="8"/>
        <v>0</v>
      </c>
      <c r="AR128" s="45" t="str">
        <f t="shared" si="9"/>
        <v>#DIV/0!</v>
      </c>
      <c r="AT128" s="45">
        <f t="shared" si="10"/>
        <v>0</v>
      </c>
      <c r="AU128" s="45">
        <f t="shared" si="11"/>
        <v>0</v>
      </c>
      <c r="AV128" s="45" t="str">
        <f t="shared" si="12"/>
        <v>#DIV/0!</v>
      </c>
      <c r="AX128" s="45">
        <f t="shared" si="13"/>
        <v>0</v>
      </c>
      <c r="AY128" s="45">
        <f t="shared" si="14"/>
        <v>0</v>
      </c>
      <c r="AZ128" s="45" t="str">
        <f t="shared" si="15"/>
        <v>#DIV/0!</v>
      </c>
      <c r="BB128" s="45">
        <f t="shared" si="16"/>
        <v>0</v>
      </c>
      <c r="BC128" s="45">
        <f t="shared" si="17"/>
        <v>0</v>
      </c>
      <c r="BD128" s="45" t="str">
        <f t="shared" si="18"/>
        <v>#DIV/0!</v>
      </c>
    </row>
    <row r="129" ht="15.75" customHeight="1">
      <c r="A129" s="52">
        <v>119.0</v>
      </c>
      <c r="B129" s="167" t="str">
        <f>'IA Test only'!B130</f>
        <v/>
      </c>
      <c r="C129" s="168" t="str">
        <f>'IA Test only'!C130</f>
        <v/>
      </c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53">
        <f t="shared" si="1"/>
        <v>0</v>
      </c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52">
        <f t="shared" si="2"/>
        <v>0</v>
      </c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52">
        <f t="shared" si="3"/>
        <v>0</v>
      </c>
      <c r="AL129" s="45">
        <f t="shared" si="4"/>
        <v>0</v>
      </c>
      <c r="AM129" s="45">
        <f t="shared" si="5"/>
        <v>0</v>
      </c>
      <c r="AN129" s="45" t="str">
        <f t="shared" si="6"/>
        <v>#DIV/0!</v>
      </c>
      <c r="AP129" s="45">
        <f t="shared" si="7"/>
        <v>0</v>
      </c>
      <c r="AQ129" s="45">
        <f t="shared" si="8"/>
        <v>0</v>
      </c>
      <c r="AR129" s="45" t="str">
        <f t="shared" si="9"/>
        <v>#DIV/0!</v>
      </c>
      <c r="AT129" s="45">
        <f t="shared" si="10"/>
        <v>0</v>
      </c>
      <c r="AU129" s="45">
        <f t="shared" si="11"/>
        <v>0</v>
      </c>
      <c r="AV129" s="45" t="str">
        <f t="shared" si="12"/>
        <v>#DIV/0!</v>
      </c>
      <c r="AX129" s="45">
        <f t="shared" si="13"/>
        <v>0</v>
      </c>
      <c r="AY129" s="45">
        <f t="shared" si="14"/>
        <v>0</v>
      </c>
      <c r="AZ129" s="45" t="str">
        <f t="shared" si="15"/>
        <v>#DIV/0!</v>
      </c>
      <c r="BB129" s="45">
        <f t="shared" si="16"/>
        <v>0</v>
      </c>
      <c r="BC129" s="45">
        <f t="shared" si="17"/>
        <v>0</v>
      </c>
      <c r="BD129" s="45" t="str">
        <f t="shared" si="18"/>
        <v>#DIV/0!</v>
      </c>
    </row>
    <row r="130" ht="15.75" customHeight="1">
      <c r="A130" s="52">
        <v>120.0</v>
      </c>
      <c r="B130" s="167" t="str">
        <f>'IA Test only'!B131</f>
        <v/>
      </c>
      <c r="C130" s="168" t="str">
        <f>'IA Test only'!C131</f>
        <v/>
      </c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53">
        <f t="shared" si="1"/>
        <v>0</v>
      </c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52">
        <f t="shared" si="2"/>
        <v>0</v>
      </c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52">
        <f t="shared" si="3"/>
        <v>0</v>
      </c>
      <c r="AL130" s="45">
        <f t="shared" si="4"/>
        <v>0</v>
      </c>
      <c r="AM130" s="45">
        <f t="shared" si="5"/>
        <v>0</v>
      </c>
      <c r="AN130" s="45" t="str">
        <f t="shared" si="6"/>
        <v>#DIV/0!</v>
      </c>
      <c r="AP130" s="45">
        <f t="shared" si="7"/>
        <v>0</v>
      </c>
      <c r="AQ130" s="45">
        <f t="shared" si="8"/>
        <v>0</v>
      </c>
      <c r="AR130" s="45" t="str">
        <f t="shared" si="9"/>
        <v>#DIV/0!</v>
      </c>
      <c r="AT130" s="45">
        <f t="shared" si="10"/>
        <v>0</v>
      </c>
      <c r="AU130" s="45">
        <f t="shared" si="11"/>
        <v>0</v>
      </c>
      <c r="AV130" s="45" t="str">
        <f t="shared" si="12"/>
        <v>#DIV/0!</v>
      </c>
      <c r="AX130" s="45">
        <f t="shared" si="13"/>
        <v>0</v>
      </c>
      <c r="AY130" s="45">
        <f t="shared" si="14"/>
        <v>0</v>
      </c>
      <c r="AZ130" s="45" t="str">
        <f t="shared" si="15"/>
        <v>#DIV/0!</v>
      </c>
      <c r="BB130" s="45">
        <f t="shared" si="16"/>
        <v>0</v>
      </c>
      <c r="BC130" s="45">
        <f t="shared" si="17"/>
        <v>0</v>
      </c>
      <c r="BD130" s="45" t="str">
        <f t="shared" si="18"/>
        <v>#DIV/0!</v>
      </c>
    </row>
    <row r="131" ht="15.75" customHeight="1">
      <c r="A131" s="52">
        <v>121.0</v>
      </c>
      <c r="B131" s="167" t="str">
        <f>'IA Test only'!B132</f>
        <v/>
      </c>
      <c r="C131" s="168" t="str">
        <f>'IA Test only'!C132</f>
        <v/>
      </c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53">
        <f t="shared" si="1"/>
        <v>0</v>
      </c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52">
        <f t="shared" si="2"/>
        <v>0</v>
      </c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52">
        <f t="shared" si="3"/>
        <v>0</v>
      </c>
      <c r="AL131" s="45">
        <f t="shared" si="4"/>
        <v>0</v>
      </c>
      <c r="AM131" s="45">
        <f t="shared" si="5"/>
        <v>0</v>
      </c>
      <c r="AN131" s="45" t="str">
        <f t="shared" si="6"/>
        <v>#DIV/0!</v>
      </c>
      <c r="AP131" s="45">
        <f t="shared" si="7"/>
        <v>0</v>
      </c>
      <c r="AQ131" s="45">
        <f t="shared" si="8"/>
        <v>0</v>
      </c>
      <c r="AR131" s="45" t="str">
        <f t="shared" si="9"/>
        <v>#DIV/0!</v>
      </c>
      <c r="AT131" s="45">
        <f t="shared" si="10"/>
        <v>0</v>
      </c>
      <c r="AU131" s="45">
        <f t="shared" si="11"/>
        <v>0</v>
      </c>
      <c r="AV131" s="45" t="str">
        <f t="shared" si="12"/>
        <v>#DIV/0!</v>
      </c>
      <c r="AX131" s="45">
        <f t="shared" si="13"/>
        <v>0</v>
      </c>
      <c r="AY131" s="45">
        <f t="shared" si="14"/>
        <v>0</v>
      </c>
      <c r="AZ131" s="45" t="str">
        <f t="shared" si="15"/>
        <v>#DIV/0!</v>
      </c>
      <c r="BB131" s="45">
        <f t="shared" si="16"/>
        <v>0</v>
      </c>
      <c r="BC131" s="45">
        <f t="shared" si="17"/>
        <v>0</v>
      </c>
      <c r="BD131" s="45" t="str">
        <f t="shared" si="18"/>
        <v>#DIV/0!</v>
      </c>
    </row>
    <row r="132" ht="15.75" customHeight="1">
      <c r="A132" s="52">
        <v>122.0</v>
      </c>
      <c r="B132" s="167" t="str">
        <f>'IA Test only'!B133</f>
        <v/>
      </c>
      <c r="C132" s="168" t="str">
        <f>'IA Test only'!C133</f>
        <v/>
      </c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53">
        <f t="shared" si="1"/>
        <v>0</v>
      </c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52">
        <f t="shared" si="2"/>
        <v>0</v>
      </c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52">
        <f t="shared" si="3"/>
        <v>0</v>
      </c>
      <c r="AL132" s="45">
        <f t="shared" si="4"/>
        <v>0</v>
      </c>
      <c r="AM132" s="45">
        <f t="shared" si="5"/>
        <v>0</v>
      </c>
      <c r="AN132" s="45" t="str">
        <f t="shared" si="6"/>
        <v>#DIV/0!</v>
      </c>
      <c r="AP132" s="45">
        <f t="shared" si="7"/>
        <v>0</v>
      </c>
      <c r="AQ132" s="45">
        <f t="shared" si="8"/>
        <v>0</v>
      </c>
      <c r="AR132" s="45" t="str">
        <f t="shared" si="9"/>
        <v>#DIV/0!</v>
      </c>
      <c r="AT132" s="45">
        <f t="shared" si="10"/>
        <v>0</v>
      </c>
      <c r="AU132" s="45">
        <f t="shared" si="11"/>
        <v>0</v>
      </c>
      <c r="AV132" s="45" t="str">
        <f t="shared" si="12"/>
        <v>#DIV/0!</v>
      </c>
      <c r="AX132" s="45">
        <f t="shared" si="13"/>
        <v>0</v>
      </c>
      <c r="AY132" s="45">
        <f t="shared" si="14"/>
        <v>0</v>
      </c>
      <c r="AZ132" s="45" t="str">
        <f t="shared" si="15"/>
        <v>#DIV/0!</v>
      </c>
      <c r="BB132" s="45">
        <f t="shared" si="16"/>
        <v>0</v>
      </c>
      <c r="BC132" s="45">
        <f t="shared" si="17"/>
        <v>0</v>
      </c>
      <c r="BD132" s="45" t="str">
        <f t="shared" si="18"/>
        <v>#DIV/0!</v>
      </c>
    </row>
    <row r="133" ht="15.75" customHeight="1">
      <c r="A133" s="52">
        <v>123.0</v>
      </c>
      <c r="B133" s="167" t="str">
        <f>'IA Test only'!B134</f>
        <v/>
      </c>
      <c r="C133" s="168" t="str">
        <f>'IA Test only'!C134</f>
        <v/>
      </c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53">
        <f t="shared" si="1"/>
        <v>0</v>
      </c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52">
        <f t="shared" si="2"/>
        <v>0</v>
      </c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52">
        <f t="shared" si="3"/>
        <v>0</v>
      </c>
      <c r="AL133" s="45">
        <f t="shared" si="4"/>
        <v>0</v>
      </c>
      <c r="AM133" s="45">
        <f t="shared" si="5"/>
        <v>0</v>
      </c>
      <c r="AN133" s="45" t="str">
        <f t="shared" si="6"/>
        <v>#DIV/0!</v>
      </c>
      <c r="AP133" s="45">
        <f t="shared" si="7"/>
        <v>0</v>
      </c>
      <c r="AQ133" s="45">
        <f t="shared" si="8"/>
        <v>0</v>
      </c>
      <c r="AR133" s="45" t="str">
        <f t="shared" si="9"/>
        <v>#DIV/0!</v>
      </c>
      <c r="AT133" s="45">
        <f t="shared" si="10"/>
        <v>0</v>
      </c>
      <c r="AU133" s="45">
        <f t="shared" si="11"/>
        <v>0</v>
      </c>
      <c r="AV133" s="45" t="str">
        <f t="shared" si="12"/>
        <v>#DIV/0!</v>
      </c>
      <c r="AX133" s="45">
        <f t="shared" si="13"/>
        <v>0</v>
      </c>
      <c r="AY133" s="45">
        <f t="shared" si="14"/>
        <v>0</v>
      </c>
      <c r="AZ133" s="45" t="str">
        <f t="shared" si="15"/>
        <v>#DIV/0!</v>
      </c>
      <c r="BB133" s="45">
        <f t="shared" si="16"/>
        <v>0</v>
      </c>
      <c r="BC133" s="45">
        <f t="shared" si="17"/>
        <v>0</v>
      </c>
      <c r="BD133" s="45" t="str">
        <f t="shared" si="18"/>
        <v>#DIV/0!</v>
      </c>
    </row>
    <row r="134" ht="15.75" customHeight="1">
      <c r="A134" s="52">
        <v>124.0</v>
      </c>
      <c r="B134" s="167" t="str">
        <f>'IA Test only'!B135</f>
        <v/>
      </c>
      <c r="C134" s="168" t="str">
        <f>'IA Test only'!C135</f>
        <v/>
      </c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53">
        <f t="shared" si="1"/>
        <v>0</v>
      </c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52">
        <f t="shared" si="2"/>
        <v>0</v>
      </c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52">
        <f t="shared" si="3"/>
        <v>0</v>
      </c>
      <c r="AL134" s="45">
        <f t="shared" si="4"/>
        <v>0</v>
      </c>
      <c r="AM134" s="45">
        <f t="shared" si="5"/>
        <v>0</v>
      </c>
      <c r="AN134" s="45" t="str">
        <f t="shared" si="6"/>
        <v>#DIV/0!</v>
      </c>
      <c r="AP134" s="45">
        <f t="shared" si="7"/>
        <v>0</v>
      </c>
      <c r="AQ134" s="45">
        <f t="shared" si="8"/>
        <v>0</v>
      </c>
      <c r="AR134" s="45" t="str">
        <f t="shared" si="9"/>
        <v>#DIV/0!</v>
      </c>
      <c r="AT134" s="45">
        <f t="shared" si="10"/>
        <v>0</v>
      </c>
      <c r="AU134" s="45">
        <f t="shared" si="11"/>
        <v>0</v>
      </c>
      <c r="AV134" s="45" t="str">
        <f t="shared" si="12"/>
        <v>#DIV/0!</v>
      </c>
      <c r="AX134" s="45">
        <f t="shared" si="13"/>
        <v>0</v>
      </c>
      <c r="AY134" s="45">
        <f t="shared" si="14"/>
        <v>0</v>
      </c>
      <c r="AZ134" s="45" t="str">
        <f t="shared" si="15"/>
        <v>#DIV/0!</v>
      </c>
      <c r="BB134" s="45">
        <f t="shared" si="16"/>
        <v>0</v>
      </c>
      <c r="BC134" s="45">
        <f t="shared" si="17"/>
        <v>0</v>
      </c>
      <c r="BD134" s="45" t="str">
        <f t="shared" si="18"/>
        <v>#DIV/0!</v>
      </c>
    </row>
    <row r="135" ht="15.75" customHeight="1">
      <c r="A135" s="52">
        <v>125.0</v>
      </c>
      <c r="B135" s="167" t="str">
        <f>'IA Test only'!B136</f>
        <v/>
      </c>
      <c r="C135" s="168" t="str">
        <f>'IA Test only'!C136</f>
        <v/>
      </c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53">
        <f t="shared" si="1"/>
        <v>0</v>
      </c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52">
        <f t="shared" si="2"/>
        <v>0</v>
      </c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52">
        <f t="shared" si="3"/>
        <v>0</v>
      </c>
      <c r="AL135" s="45">
        <f t="shared" si="4"/>
        <v>0</v>
      </c>
      <c r="AM135" s="45">
        <f t="shared" si="5"/>
        <v>0</v>
      </c>
      <c r="AN135" s="45" t="str">
        <f t="shared" si="6"/>
        <v>#DIV/0!</v>
      </c>
      <c r="AP135" s="45">
        <f t="shared" si="7"/>
        <v>0</v>
      </c>
      <c r="AQ135" s="45">
        <f t="shared" si="8"/>
        <v>0</v>
      </c>
      <c r="AR135" s="45" t="str">
        <f t="shared" si="9"/>
        <v>#DIV/0!</v>
      </c>
      <c r="AT135" s="45">
        <f t="shared" si="10"/>
        <v>0</v>
      </c>
      <c r="AU135" s="45">
        <f t="shared" si="11"/>
        <v>0</v>
      </c>
      <c r="AV135" s="45" t="str">
        <f t="shared" si="12"/>
        <v>#DIV/0!</v>
      </c>
      <c r="AX135" s="45">
        <f t="shared" si="13"/>
        <v>0</v>
      </c>
      <c r="AY135" s="45">
        <f t="shared" si="14"/>
        <v>0</v>
      </c>
      <c r="AZ135" s="45" t="str">
        <f t="shared" si="15"/>
        <v>#DIV/0!</v>
      </c>
      <c r="BB135" s="45">
        <f t="shared" si="16"/>
        <v>0</v>
      </c>
      <c r="BC135" s="45">
        <f t="shared" si="17"/>
        <v>0</v>
      </c>
      <c r="BD135" s="45" t="str">
        <f t="shared" si="18"/>
        <v>#DIV/0!</v>
      </c>
    </row>
    <row r="136" ht="15.75" customHeight="1">
      <c r="A136" s="52">
        <v>126.0</v>
      </c>
      <c r="B136" s="167" t="str">
        <f>'IA Test only'!B137</f>
        <v/>
      </c>
      <c r="C136" s="168" t="str">
        <f>'IA Test only'!C137</f>
        <v/>
      </c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53">
        <f t="shared" si="1"/>
        <v>0</v>
      </c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52">
        <f t="shared" si="2"/>
        <v>0</v>
      </c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52">
        <f t="shared" si="3"/>
        <v>0</v>
      </c>
      <c r="AL136" s="45">
        <f t="shared" si="4"/>
        <v>0</v>
      </c>
      <c r="AM136" s="45">
        <f t="shared" si="5"/>
        <v>0</v>
      </c>
      <c r="AN136" s="45" t="str">
        <f t="shared" si="6"/>
        <v>#DIV/0!</v>
      </c>
      <c r="AP136" s="45">
        <f t="shared" si="7"/>
        <v>0</v>
      </c>
      <c r="AQ136" s="45">
        <f t="shared" si="8"/>
        <v>0</v>
      </c>
      <c r="AR136" s="45" t="str">
        <f t="shared" si="9"/>
        <v>#DIV/0!</v>
      </c>
      <c r="AT136" s="45">
        <f t="shared" si="10"/>
        <v>0</v>
      </c>
      <c r="AU136" s="45">
        <f t="shared" si="11"/>
        <v>0</v>
      </c>
      <c r="AV136" s="45" t="str">
        <f t="shared" si="12"/>
        <v>#DIV/0!</v>
      </c>
      <c r="AX136" s="45">
        <f t="shared" si="13"/>
        <v>0</v>
      </c>
      <c r="AY136" s="45">
        <f t="shared" si="14"/>
        <v>0</v>
      </c>
      <c r="AZ136" s="45" t="str">
        <f t="shared" si="15"/>
        <v>#DIV/0!</v>
      </c>
      <c r="BB136" s="45">
        <f t="shared" si="16"/>
        <v>0</v>
      </c>
      <c r="BC136" s="45">
        <f t="shared" si="17"/>
        <v>0</v>
      </c>
      <c r="BD136" s="45" t="str">
        <f t="shared" si="18"/>
        <v>#DIV/0!</v>
      </c>
    </row>
    <row r="137" ht="15.75" customHeight="1">
      <c r="A137" s="52">
        <v>127.0</v>
      </c>
      <c r="B137" s="167" t="str">
        <f>'IA Test only'!B138</f>
        <v/>
      </c>
      <c r="C137" s="168" t="str">
        <f>'IA Test only'!C138</f>
        <v/>
      </c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53">
        <f t="shared" si="1"/>
        <v>0</v>
      </c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52">
        <f t="shared" si="2"/>
        <v>0</v>
      </c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52">
        <f t="shared" si="3"/>
        <v>0</v>
      </c>
      <c r="AL137" s="45">
        <f t="shared" si="4"/>
        <v>0</v>
      </c>
      <c r="AM137" s="45">
        <f t="shared" si="5"/>
        <v>0</v>
      </c>
      <c r="AN137" s="45" t="str">
        <f t="shared" si="6"/>
        <v>#DIV/0!</v>
      </c>
      <c r="AP137" s="45">
        <f t="shared" si="7"/>
        <v>0</v>
      </c>
      <c r="AQ137" s="45">
        <f t="shared" si="8"/>
        <v>0</v>
      </c>
      <c r="AR137" s="45" t="str">
        <f t="shared" si="9"/>
        <v>#DIV/0!</v>
      </c>
      <c r="AT137" s="45">
        <f t="shared" si="10"/>
        <v>0</v>
      </c>
      <c r="AU137" s="45">
        <f t="shared" si="11"/>
        <v>0</v>
      </c>
      <c r="AV137" s="45" t="str">
        <f t="shared" si="12"/>
        <v>#DIV/0!</v>
      </c>
      <c r="AX137" s="45">
        <f t="shared" si="13"/>
        <v>0</v>
      </c>
      <c r="AY137" s="45">
        <f t="shared" si="14"/>
        <v>0</v>
      </c>
      <c r="AZ137" s="45" t="str">
        <f t="shared" si="15"/>
        <v>#DIV/0!</v>
      </c>
      <c r="BB137" s="45">
        <f t="shared" si="16"/>
        <v>0</v>
      </c>
      <c r="BC137" s="45">
        <f t="shared" si="17"/>
        <v>0</v>
      </c>
      <c r="BD137" s="45" t="str">
        <f t="shared" si="18"/>
        <v>#DIV/0!</v>
      </c>
    </row>
    <row r="138" ht="15.75" customHeight="1">
      <c r="A138" s="52">
        <v>128.0</v>
      </c>
      <c r="B138" s="167" t="str">
        <f>'IA Test only'!B139</f>
        <v/>
      </c>
      <c r="C138" s="168" t="str">
        <f>'IA Test only'!C139</f>
        <v/>
      </c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53">
        <f t="shared" si="1"/>
        <v>0</v>
      </c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52">
        <f t="shared" si="2"/>
        <v>0</v>
      </c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52">
        <f t="shared" si="3"/>
        <v>0</v>
      </c>
      <c r="AL138" s="45">
        <f t="shared" si="4"/>
        <v>0</v>
      </c>
      <c r="AM138" s="45">
        <f t="shared" si="5"/>
        <v>0</v>
      </c>
      <c r="AN138" s="45" t="str">
        <f t="shared" si="6"/>
        <v>#DIV/0!</v>
      </c>
      <c r="AP138" s="45">
        <f t="shared" si="7"/>
        <v>0</v>
      </c>
      <c r="AQ138" s="45">
        <f t="shared" si="8"/>
        <v>0</v>
      </c>
      <c r="AR138" s="45" t="str">
        <f t="shared" si="9"/>
        <v>#DIV/0!</v>
      </c>
      <c r="AT138" s="45">
        <f t="shared" si="10"/>
        <v>0</v>
      </c>
      <c r="AU138" s="45">
        <f t="shared" si="11"/>
        <v>0</v>
      </c>
      <c r="AV138" s="45" t="str">
        <f t="shared" si="12"/>
        <v>#DIV/0!</v>
      </c>
      <c r="AX138" s="45">
        <f t="shared" si="13"/>
        <v>0</v>
      </c>
      <c r="AY138" s="45">
        <f t="shared" si="14"/>
        <v>0</v>
      </c>
      <c r="AZ138" s="45" t="str">
        <f t="shared" si="15"/>
        <v>#DIV/0!</v>
      </c>
      <c r="BB138" s="45">
        <f t="shared" si="16"/>
        <v>0</v>
      </c>
      <c r="BC138" s="45">
        <f t="shared" si="17"/>
        <v>0</v>
      </c>
      <c r="BD138" s="45" t="str">
        <f t="shared" si="18"/>
        <v>#DIV/0!</v>
      </c>
    </row>
    <row r="139" ht="15.75" customHeight="1">
      <c r="A139" s="52">
        <v>129.0</v>
      </c>
      <c r="B139" s="167" t="str">
        <f>'IA Test only'!B140</f>
        <v/>
      </c>
      <c r="C139" s="168" t="str">
        <f>'IA Test only'!C140</f>
        <v/>
      </c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53">
        <f t="shared" si="1"/>
        <v>0</v>
      </c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52">
        <f t="shared" si="2"/>
        <v>0</v>
      </c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52">
        <f t="shared" si="3"/>
        <v>0</v>
      </c>
      <c r="AL139" s="45">
        <f t="shared" si="4"/>
        <v>0</v>
      </c>
      <c r="AM139" s="45">
        <f t="shared" si="5"/>
        <v>0</v>
      </c>
      <c r="AN139" s="45" t="str">
        <f t="shared" si="6"/>
        <v>#DIV/0!</v>
      </c>
      <c r="AP139" s="45">
        <f t="shared" si="7"/>
        <v>0</v>
      </c>
      <c r="AQ139" s="45">
        <f t="shared" si="8"/>
        <v>0</v>
      </c>
      <c r="AR139" s="45" t="str">
        <f t="shared" si="9"/>
        <v>#DIV/0!</v>
      </c>
      <c r="AT139" s="45">
        <f t="shared" si="10"/>
        <v>0</v>
      </c>
      <c r="AU139" s="45">
        <f t="shared" si="11"/>
        <v>0</v>
      </c>
      <c r="AV139" s="45" t="str">
        <f t="shared" si="12"/>
        <v>#DIV/0!</v>
      </c>
      <c r="AX139" s="45">
        <f t="shared" si="13"/>
        <v>0</v>
      </c>
      <c r="AY139" s="45">
        <f t="shared" si="14"/>
        <v>0</v>
      </c>
      <c r="AZ139" s="45" t="str">
        <f t="shared" si="15"/>
        <v>#DIV/0!</v>
      </c>
      <c r="BB139" s="45">
        <f t="shared" si="16"/>
        <v>0</v>
      </c>
      <c r="BC139" s="45">
        <f t="shared" si="17"/>
        <v>0</v>
      </c>
      <c r="BD139" s="45" t="str">
        <f t="shared" si="18"/>
        <v>#DIV/0!</v>
      </c>
    </row>
    <row r="140" ht="15.75" customHeight="1">
      <c r="A140" s="52">
        <v>130.0</v>
      </c>
      <c r="B140" s="167" t="str">
        <f>'IA Test only'!B141</f>
        <v/>
      </c>
      <c r="C140" s="168" t="str">
        <f>'IA Test only'!C141</f>
        <v/>
      </c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53">
        <f t="shared" si="1"/>
        <v>0</v>
      </c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52">
        <f t="shared" si="2"/>
        <v>0</v>
      </c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52">
        <f t="shared" si="3"/>
        <v>0</v>
      </c>
      <c r="AL140" s="45">
        <f t="shared" si="4"/>
        <v>0</v>
      </c>
      <c r="AM140" s="45">
        <f t="shared" si="5"/>
        <v>0</v>
      </c>
      <c r="AN140" s="45" t="str">
        <f t="shared" si="6"/>
        <v>#DIV/0!</v>
      </c>
      <c r="AP140" s="45">
        <f t="shared" si="7"/>
        <v>0</v>
      </c>
      <c r="AQ140" s="45">
        <f t="shared" si="8"/>
        <v>0</v>
      </c>
      <c r="AR140" s="45" t="str">
        <f t="shared" si="9"/>
        <v>#DIV/0!</v>
      </c>
      <c r="AT140" s="45">
        <f t="shared" si="10"/>
        <v>0</v>
      </c>
      <c r="AU140" s="45">
        <f t="shared" si="11"/>
        <v>0</v>
      </c>
      <c r="AV140" s="45" t="str">
        <f t="shared" si="12"/>
        <v>#DIV/0!</v>
      </c>
      <c r="AX140" s="45">
        <f t="shared" si="13"/>
        <v>0</v>
      </c>
      <c r="AY140" s="45">
        <f t="shared" si="14"/>
        <v>0</v>
      </c>
      <c r="AZ140" s="45" t="str">
        <f t="shared" si="15"/>
        <v>#DIV/0!</v>
      </c>
      <c r="BB140" s="45">
        <f t="shared" si="16"/>
        <v>0</v>
      </c>
      <c r="BC140" s="45">
        <f t="shared" si="17"/>
        <v>0</v>
      </c>
      <c r="BD140" s="45" t="str">
        <f t="shared" si="18"/>
        <v>#DIV/0!</v>
      </c>
    </row>
    <row r="141" ht="15.75" customHeight="1">
      <c r="A141" s="52">
        <v>131.0</v>
      </c>
      <c r="B141" s="167" t="str">
        <f>'IA Test only'!B142</f>
        <v/>
      </c>
      <c r="C141" s="168" t="str">
        <f>'IA Test only'!C142</f>
        <v/>
      </c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53">
        <f t="shared" si="1"/>
        <v>0</v>
      </c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52">
        <f t="shared" si="2"/>
        <v>0</v>
      </c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52">
        <f t="shared" si="3"/>
        <v>0</v>
      </c>
      <c r="AL141" s="45">
        <f t="shared" si="4"/>
        <v>0</v>
      </c>
      <c r="AM141" s="45">
        <f t="shared" si="5"/>
        <v>0</v>
      </c>
      <c r="AN141" s="45" t="str">
        <f t="shared" si="6"/>
        <v>#DIV/0!</v>
      </c>
      <c r="AP141" s="45">
        <f t="shared" si="7"/>
        <v>0</v>
      </c>
      <c r="AQ141" s="45">
        <f t="shared" si="8"/>
        <v>0</v>
      </c>
      <c r="AR141" s="45" t="str">
        <f t="shared" si="9"/>
        <v>#DIV/0!</v>
      </c>
      <c r="AT141" s="45">
        <f t="shared" si="10"/>
        <v>0</v>
      </c>
      <c r="AU141" s="45">
        <f t="shared" si="11"/>
        <v>0</v>
      </c>
      <c r="AV141" s="45" t="str">
        <f t="shared" si="12"/>
        <v>#DIV/0!</v>
      </c>
      <c r="AX141" s="45">
        <f t="shared" si="13"/>
        <v>0</v>
      </c>
      <c r="AY141" s="45">
        <f t="shared" si="14"/>
        <v>0</v>
      </c>
      <c r="AZ141" s="45" t="str">
        <f t="shared" si="15"/>
        <v>#DIV/0!</v>
      </c>
      <c r="BB141" s="45">
        <f t="shared" si="16"/>
        <v>0</v>
      </c>
      <c r="BC141" s="45">
        <f t="shared" si="17"/>
        <v>0</v>
      </c>
      <c r="BD141" s="45" t="str">
        <f t="shared" si="18"/>
        <v>#DIV/0!</v>
      </c>
    </row>
    <row r="142" ht="15.75" customHeight="1">
      <c r="A142" s="52">
        <v>132.0</v>
      </c>
      <c r="B142" s="167" t="str">
        <f>'IA Test only'!B143</f>
        <v/>
      </c>
      <c r="C142" s="168" t="str">
        <f>'IA Test only'!C143</f>
        <v/>
      </c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53">
        <f t="shared" si="1"/>
        <v>0</v>
      </c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52">
        <f t="shared" si="2"/>
        <v>0</v>
      </c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  <c r="AJ142" s="52">
        <f t="shared" si="3"/>
        <v>0</v>
      </c>
      <c r="AL142" s="45">
        <f t="shared" si="4"/>
        <v>0</v>
      </c>
      <c r="AM142" s="45">
        <f t="shared" si="5"/>
        <v>0</v>
      </c>
      <c r="AN142" s="45" t="str">
        <f t="shared" si="6"/>
        <v>#DIV/0!</v>
      </c>
      <c r="AP142" s="45">
        <f t="shared" si="7"/>
        <v>0</v>
      </c>
      <c r="AQ142" s="45">
        <f t="shared" si="8"/>
        <v>0</v>
      </c>
      <c r="AR142" s="45" t="str">
        <f t="shared" si="9"/>
        <v>#DIV/0!</v>
      </c>
      <c r="AT142" s="45">
        <f t="shared" si="10"/>
        <v>0</v>
      </c>
      <c r="AU142" s="45">
        <f t="shared" si="11"/>
        <v>0</v>
      </c>
      <c r="AV142" s="45" t="str">
        <f t="shared" si="12"/>
        <v>#DIV/0!</v>
      </c>
      <c r="AX142" s="45">
        <f t="shared" si="13"/>
        <v>0</v>
      </c>
      <c r="AY142" s="45">
        <f t="shared" si="14"/>
        <v>0</v>
      </c>
      <c r="AZ142" s="45" t="str">
        <f t="shared" si="15"/>
        <v>#DIV/0!</v>
      </c>
      <c r="BB142" s="45">
        <f t="shared" si="16"/>
        <v>0</v>
      </c>
      <c r="BC142" s="45">
        <f t="shared" si="17"/>
        <v>0</v>
      </c>
      <c r="BD142" s="45" t="str">
        <f t="shared" si="18"/>
        <v>#DIV/0!</v>
      </c>
    </row>
    <row r="143" ht="15.75" customHeight="1">
      <c r="A143" s="52">
        <v>133.0</v>
      </c>
      <c r="B143" s="167" t="str">
        <f>'IA Test only'!B144</f>
        <v/>
      </c>
      <c r="C143" s="168" t="str">
        <f>'IA Test only'!C144</f>
        <v/>
      </c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53">
        <f t="shared" si="1"/>
        <v>0</v>
      </c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52">
        <f t="shared" si="2"/>
        <v>0</v>
      </c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52">
        <f t="shared" si="3"/>
        <v>0</v>
      </c>
      <c r="AL143" s="45">
        <f t="shared" si="4"/>
        <v>0</v>
      </c>
      <c r="AM143" s="45">
        <f t="shared" si="5"/>
        <v>0</v>
      </c>
      <c r="AN143" s="45" t="str">
        <f t="shared" si="6"/>
        <v>#DIV/0!</v>
      </c>
      <c r="AP143" s="45">
        <f t="shared" si="7"/>
        <v>0</v>
      </c>
      <c r="AQ143" s="45">
        <f t="shared" si="8"/>
        <v>0</v>
      </c>
      <c r="AR143" s="45" t="str">
        <f t="shared" si="9"/>
        <v>#DIV/0!</v>
      </c>
      <c r="AT143" s="45">
        <f t="shared" si="10"/>
        <v>0</v>
      </c>
      <c r="AU143" s="45">
        <f t="shared" si="11"/>
        <v>0</v>
      </c>
      <c r="AV143" s="45" t="str">
        <f t="shared" si="12"/>
        <v>#DIV/0!</v>
      </c>
      <c r="AX143" s="45">
        <f t="shared" si="13"/>
        <v>0</v>
      </c>
      <c r="AY143" s="45">
        <f t="shared" si="14"/>
        <v>0</v>
      </c>
      <c r="AZ143" s="45" t="str">
        <f t="shared" si="15"/>
        <v>#DIV/0!</v>
      </c>
      <c r="BB143" s="45">
        <f t="shared" si="16"/>
        <v>0</v>
      </c>
      <c r="BC143" s="45">
        <f t="shared" si="17"/>
        <v>0</v>
      </c>
      <c r="BD143" s="45" t="str">
        <f t="shared" si="18"/>
        <v>#DIV/0!</v>
      </c>
    </row>
    <row r="144" ht="15.75" customHeight="1">
      <c r="A144" s="52">
        <v>134.0</v>
      </c>
      <c r="B144" s="167" t="str">
        <f>'IA Test only'!B145</f>
        <v/>
      </c>
      <c r="C144" s="168" t="str">
        <f>'IA Test only'!C145</f>
        <v/>
      </c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53">
        <f t="shared" si="1"/>
        <v>0</v>
      </c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52">
        <f t="shared" si="2"/>
        <v>0</v>
      </c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  <c r="AJ144" s="52">
        <f t="shared" si="3"/>
        <v>0</v>
      </c>
      <c r="AL144" s="45">
        <f t="shared" si="4"/>
        <v>0</v>
      </c>
      <c r="AM144" s="45">
        <f t="shared" si="5"/>
        <v>0</v>
      </c>
      <c r="AN144" s="45" t="str">
        <f t="shared" si="6"/>
        <v>#DIV/0!</v>
      </c>
      <c r="AP144" s="45">
        <f t="shared" si="7"/>
        <v>0</v>
      </c>
      <c r="AQ144" s="45">
        <f t="shared" si="8"/>
        <v>0</v>
      </c>
      <c r="AR144" s="45" t="str">
        <f t="shared" si="9"/>
        <v>#DIV/0!</v>
      </c>
      <c r="AT144" s="45">
        <f t="shared" si="10"/>
        <v>0</v>
      </c>
      <c r="AU144" s="45">
        <f t="shared" si="11"/>
        <v>0</v>
      </c>
      <c r="AV144" s="45" t="str">
        <f t="shared" si="12"/>
        <v>#DIV/0!</v>
      </c>
      <c r="AX144" s="45">
        <f t="shared" si="13"/>
        <v>0</v>
      </c>
      <c r="AY144" s="45">
        <f t="shared" si="14"/>
        <v>0</v>
      </c>
      <c r="AZ144" s="45" t="str">
        <f t="shared" si="15"/>
        <v>#DIV/0!</v>
      </c>
      <c r="BB144" s="45">
        <f t="shared" si="16"/>
        <v>0</v>
      </c>
      <c r="BC144" s="45">
        <f t="shared" si="17"/>
        <v>0</v>
      </c>
      <c r="BD144" s="45" t="str">
        <f t="shared" si="18"/>
        <v>#DIV/0!</v>
      </c>
    </row>
    <row r="145" ht="15.75" customHeight="1">
      <c r="A145" s="52">
        <v>135.0</v>
      </c>
      <c r="B145" s="167" t="str">
        <f>'IA Test only'!B146</f>
        <v/>
      </c>
      <c r="C145" s="168" t="str">
        <f>'IA Test only'!C146</f>
        <v/>
      </c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53">
        <f t="shared" si="1"/>
        <v>0</v>
      </c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52">
        <f t="shared" si="2"/>
        <v>0</v>
      </c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  <c r="AJ145" s="52">
        <f t="shared" si="3"/>
        <v>0</v>
      </c>
      <c r="AL145" s="45">
        <f t="shared" si="4"/>
        <v>0</v>
      </c>
      <c r="AM145" s="45">
        <f t="shared" si="5"/>
        <v>0</v>
      </c>
      <c r="AN145" s="45" t="str">
        <f t="shared" si="6"/>
        <v>#DIV/0!</v>
      </c>
      <c r="AP145" s="45">
        <f t="shared" si="7"/>
        <v>0</v>
      </c>
      <c r="AQ145" s="45">
        <f t="shared" si="8"/>
        <v>0</v>
      </c>
      <c r="AR145" s="45" t="str">
        <f t="shared" si="9"/>
        <v>#DIV/0!</v>
      </c>
      <c r="AT145" s="45">
        <f t="shared" si="10"/>
        <v>0</v>
      </c>
      <c r="AU145" s="45">
        <f t="shared" si="11"/>
        <v>0</v>
      </c>
      <c r="AV145" s="45" t="str">
        <f t="shared" si="12"/>
        <v>#DIV/0!</v>
      </c>
      <c r="AX145" s="45">
        <f t="shared" si="13"/>
        <v>0</v>
      </c>
      <c r="AY145" s="45">
        <f t="shared" si="14"/>
        <v>0</v>
      </c>
      <c r="AZ145" s="45" t="str">
        <f t="shared" si="15"/>
        <v>#DIV/0!</v>
      </c>
      <c r="BB145" s="45">
        <f t="shared" si="16"/>
        <v>0</v>
      </c>
      <c r="BC145" s="45">
        <f t="shared" si="17"/>
        <v>0</v>
      </c>
      <c r="BD145" s="45" t="str">
        <f t="shared" si="18"/>
        <v>#DIV/0!</v>
      </c>
    </row>
    <row r="146" ht="15.75" customHeight="1">
      <c r="A146" s="52">
        <v>136.0</v>
      </c>
      <c r="B146" s="167" t="str">
        <f>'IA Test only'!B147</f>
        <v/>
      </c>
      <c r="C146" s="168" t="str">
        <f>'IA Test only'!C147</f>
        <v/>
      </c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53">
        <f t="shared" si="1"/>
        <v>0</v>
      </c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52">
        <f t="shared" si="2"/>
        <v>0</v>
      </c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  <c r="AJ146" s="52">
        <f t="shared" si="3"/>
        <v>0</v>
      </c>
      <c r="AL146" s="45">
        <f t="shared" si="4"/>
        <v>0</v>
      </c>
      <c r="AM146" s="45">
        <f t="shared" si="5"/>
        <v>0</v>
      </c>
      <c r="AN146" s="45" t="str">
        <f t="shared" si="6"/>
        <v>#DIV/0!</v>
      </c>
      <c r="AP146" s="45">
        <f t="shared" si="7"/>
        <v>0</v>
      </c>
      <c r="AQ146" s="45">
        <f t="shared" si="8"/>
        <v>0</v>
      </c>
      <c r="AR146" s="45" t="str">
        <f t="shared" si="9"/>
        <v>#DIV/0!</v>
      </c>
      <c r="AT146" s="45">
        <f t="shared" si="10"/>
        <v>0</v>
      </c>
      <c r="AU146" s="45">
        <f t="shared" si="11"/>
        <v>0</v>
      </c>
      <c r="AV146" s="45" t="str">
        <f t="shared" si="12"/>
        <v>#DIV/0!</v>
      </c>
      <c r="AX146" s="45">
        <f t="shared" si="13"/>
        <v>0</v>
      </c>
      <c r="AY146" s="45">
        <f t="shared" si="14"/>
        <v>0</v>
      </c>
      <c r="AZ146" s="45" t="str">
        <f t="shared" si="15"/>
        <v>#DIV/0!</v>
      </c>
      <c r="BB146" s="45">
        <f t="shared" si="16"/>
        <v>0</v>
      </c>
      <c r="BC146" s="45">
        <f t="shared" si="17"/>
        <v>0</v>
      </c>
      <c r="BD146" s="45" t="str">
        <f t="shared" si="18"/>
        <v>#DIV/0!</v>
      </c>
    </row>
    <row r="147" ht="15.75" customHeight="1">
      <c r="A147" s="52">
        <v>137.0</v>
      </c>
      <c r="B147" s="167" t="str">
        <f>'IA Test only'!B148</f>
        <v/>
      </c>
      <c r="C147" s="168" t="str">
        <f>'IA Test only'!C148</f>
        <v/>
      </c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53">
        <f t="shared" si="1"/>
        <v>0</v>
      </c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52">
        <f t="shared" si="2"/>
        <v>0</v>
      </c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  <c r="AJ147" s="52">
        <f t="shared" si="3"/>
        <v>0</v>
      </c>
      <c r="AL147" s="45">
        <f t="shared" si="4"/>
        <v>0</v>
      </c>
      <c r="AM147" s="45">
        <f t="shared" si="5"/>
        <v>0</v>
      </c>
      <c r="AN147" s="45" t="str">
        <f t="shared" si="6"/>
        <v>#DIV/0!</v>
      </c>
      <c r="AP147" s="45">
        <f t="shared" si="7"/>
        <v>0</v>
      </c>
      <c r="AQ147" s="45">
        <f t="shared" si="8"/>
        <v>0</v>
      </c>
      <c r="AR147" s="45" t="str">
        <f t="shared" si="9"/>
        <v>#DIV/0!</v>
      </c>
      <c r="AT147" s="45">
        <f t="shared" si="10"/>
        <v>0</v>
      </c>
      <c r="AU147" s="45">
        <f t="shared" si="11"/>
        <v>0</v>
      </c>
      <c r="AV147" s="45" t="str">
        <f t="shared" si="12"/>
        <v>#DIV/0!</v>
      </c>
      <c r="AX147" s="45">
        <f t="shared" si="13"/>
        <v>0</v>
      </c>
      <c r="AY147" s="45">
        <f t="shared" si="14"/>
        <v>0</v>
      </c>
      <c r="AZ147" s="45" t="str">
        <f t="shared" si="15"/>
        <v>#DIV/0!</v>
      </c>
      <c r="BB147" s="45">
        <f t="shared" si="16"/>
        <v>0</v>
      </c>
      <c r="BC147" s="45">
        <f t="shared" si="17"/>
        <v>0</v>
      </c>
      <c r="BD147" s="45" t="str">
        <f t="shared" si="18"/>
        <v>#DIV/0!</v>
      </c>
    </row>
    <row r="148" ht="15.75" customHeight="1">
      <c r="A148" s="52">
        <v>138.0</v>
      </c>
      <c r="B148" s="167" t="str">
        <f>'IA Test only'!B149</f>
        <v/>
      </c>
      <c r="C148" s="168" t="str">
        <f>'IA Test only'!C149</f>
        <v/>
      </c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53">
        <f t="shared" si="1"/>
        <v>0</v>
      </c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52">
        <f t="shared" si="2"/>
        <v>0</v>
      </c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  <c r="AJ148" s="52">
        <f t="shared" si="3"/>
        <v>0</v>
      </c>
      <c r="AL148" s="45">
        <f t="shared" si="4"/>
        <v>0</v>
      </c>
      <c r="AM148" s="45">
        <f t="shared" si="5"/>
        <v>0</v>
      </c>
      <c r="AN148" s="45" t="str">
        <f t="shared" si="6"/>
        <v>#DIV/0!</v>
      </c>
      <c r="AP148" s="45">
        <f t="shared" si="7"/>
        <v>0</v>
      </c>
      <c r="AQ148" s="45">
        <f t="shared" si="8"/>
        <v>0</v>
      </c>
      <c r="AR148" s="45" t="str">
        <f t="shared" si="9"/>
        <v>#DIV/0!</v>
      </c>
      <c r="AT148" s="45">
        <f t="shared" si="10"/>
        <v>0</v>
      </c>
      <c r="AU148" s="45">
        <f t="shared" si="11"/>
        <v>0</v>
      </c>
      <c r="AV148" s="45" t="str">
        <f t="shared" si="12"/>
        <v>#DIV/0!</v>
      </c>
      <c r="AX148" s="45">
        <f t="shared" si="13"/>
        <v>0</v>
      </c>
      <c r="AY148" s="45">
        <f t="shared" si="14"/>
        <v>0</v>
      </c>
      <c r="AZ148" s="45" t="str">
        <f t="shared" si="15"/>
        <v>#DIV/0!</v>
      </c>
      <c r="BB148" s="45">
        <f t="shared" si="16"/>
        <v>0</v>
      </c>
      <c r="BC148" s="45">
        <f t="shared" si="17"/>
        <v>0</v>
      </c>
      <c r="BD148" s="45" t="str">
        <f t="shared" si="18"/>
        <v>#DIV/0!</v>
      </c>
    </row>
    <row r="149" ht="15.75" customHeight="1">
      <c r="A149" s="52">
        <v>139.0</v>
      </c>
      <c r="B149" s="167" t="str">
        <f>'IA Test only'!B150</f>
        <v/>
      </c>
      <c r="C149" s="168" t="str">
        <f>'IA Test only'!C150</f>
        <v/>
      </c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53">
        <f t="shared" si="1"/>
        <v>0</v>
      </c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52">
        <f t="shared" si="2"/>
        <v>0</v>
      </c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52">
        <f t="shared" si="3"/>
        <v>0</v>
      </c>
      <c r="AL149" s="45">
        <f t="shared" si="4"/>
        <v>0</v>
      </c>
      <c r="AM149" s="45">
        <f t="shared" si="5"/>
        <v>0</v>
      </c>
      <c r="AN149" s="45" t="str">
        <f t="shared" si="6"/>
        <v>#DIV/0!</v>
      </c>
      <c r="AP149" s="45">
        <f t="shared" si="7"/>
        <v>0</v>
      </c>
      <c r="AQ149" s="45">
        <f t="shared" si="8"/>
        <v>0</v>
      </c>
      <c r="AR149" s="45" t="str">
        <f t="shared" si="9"/>
        <v>#DIV/0!</v>
      </c>
      <c r="AT149" s="45">
        <f t="shared" si="10"/>
        <v>0</v>
      </c>
      <c r="AU149" s="45">
        <f t="shared" si="11"/>
        <v>0</v>
      </c>
      <c r="AV149" s="45" t="str">
        <f t="shared" si="12"/>
        <v>#DIV/0!</v>
      </c>
      <c r="AX149" s="45">
        <f t="shared" si="13"/>
        <v>0</v>
      </c>
      <c r="AY149" s="45">
        <f t="shared" si="14"/>
        <v>0</v>
      </c>
      <c r="AZ149" s="45" t="str">
        <f t="shared" si="15"/>
        <v>#DIV/0!</v>
      </c>
      <c r="BB149" s="45">
        <f t="shared" si="16"/>
        <v>0</v>
      </c>
      <c r="BC149" s="45">
        <f t="shared" si="17"/>
        <v>0</v>
      </c>
      <c r="BD149" s="45" t="str">
        <f t="shared" si="18"/>
        <v>#DIV/0!</v>
      </c>
    </row>
    <row r="150" ht="15.75" customHeight="1">
      <c r="A150" s="52">
        <v>140.0</v>
      </c>
      <c r="B150" s="167" t="str">
        <f>'IA Test only'!B151</f>
        <v/>
      </c>
      <c r="C150" s="168" t="str">
        <f>'IA Test only'!C151</f>
        <v/>
      </c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53">
        <f t="shared" si="1"/>
        <v>0</v>
      </c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52">
        <f t="shared" si="2"/>
        <v>0</v>
      </c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  <c r="AJ150" s="52">
        <f t="shared" si="3"/>
        <v>0</v>
      </c>
      <c r="AL150" s="45">
        <f t="shared" si="4"/>
        <v>0</v>
      </c>
      <c r="AM150" s="45">
        <f t="shared" si="5"/>
        <v>0</v>
      </c>
      <c r="AN150" s="45" t="str">
        <f t="shared" si="6"/>
        <v>#DIV/0!</v>
      </c>
      <c r="AP150" s="45">
        <f t="shared" si="7"/>
        <v>0</v>
      </c>
      <c r="AQ150" s="45">
        <f t="shared" si="8"/>
        <v>0</v>
      </c>
      <c r="AR150" s="45" t="str">
        <f t="shared" si="9"/>
        <v>#DIV/0!</v>
      </c>
      <c r="AT150" s="45">
        <f t="shared" si="10"/>
        <v>0</v>
      </c>
      <c r="AU150" s="45">
        <f t="shared" si="11"/>
        <v>0</v>
      </c>
      <c r="AV150" s="45" t="str">
        <f t="shared" si="12"/>
        <v>#DIV/0!</v>
      </c>
      <c r="AX150" s="45">
        <f t="shared" si="13"/>
        <v>0</v>
      </c>
      <c r="AY150" s="45">
        <f t="shared" si="14"/>
        <v>0</v>
      </c>
      <c r="AZ150" s="45" t="str">
        <f t="shared" si="15"/>
        <v>#DIV/0!</v>
      </c>
      <c r="BB150" s="45">
        <f t="shared" si="16"/>
        <v>0</v>
      </c>
      <c r="BC150" s="45">
        <f t="shared" si="17"/>
        <v>0</v>
      </c>
      <c r="BD150" s="45" t="str">
        <f t="shared" si="18"/>
        <v>#DIV/0!</v>
      </c>
    </row>
    <row r="151" ht="15.75" customHeight="1">
      <c r="A151" s="52">
        <v>141.0</v>
      </c>
      <c r="B151" s="167" t="str">
        <f>'IA Test only'!B152</f>
        <v/>
      </c>
      <c r="C151" s="168" t="str">
        <f>'IA Test only'!C152</f>
        <v/>
      </c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53">
        <f t="shared" si="1"/>
        <v>0</v>
      </c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52">
        <f t="shared" si="2"/>
        <v>0</v>
      </c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  <c r="AJ151" s="52">
        <f t="shared" si="3"/>
        <v>0</v>
      </c>
      <c r="AL151" s="45">
        <f t="shared" si="4"/>
        <v>0</v>
      </c>
      <c r="AM151" s="45">
        <f t="shared" si="5"/>
        <v>0</v>
      </c>
      <c r="AN151" s="45" t="str">
        <f t="shared" si="6"/>
        <v>#DIV/0!</v>
      </c>
      <c r="AP151" s="45">
        <f t="shared" si="7"/>
        <v>0</v>
      </c>
      <c r="AQ151" s="45">
        <f t="shared" si="8"/>
        <v>0</v>
      </c>
      <c r="AR151" s="45" t="str">
        <f t="shared" si="9"/>
        <v>#DIV/0!</v>
      </c>
      <c r="AT151" s="45">
        <f t="shared" si="10"/>
        <v>0</v>
      </c>
      <c r="AU151" s="45">
        <f t="shared" si="11"/>
        <v>0</v>
      </c>
      <c r="AV151" s="45" t="str">
        <f t="shared" si="12"/>
        <v>#DIV/0!</v>
      </c>
      <c r="AX151" s="45">
        <f t="shared" si="13"/>
        <v>0</v>
      </c>
      <c r="AY151" s="45">
        <f t="shared" si="14"/>
        <v>0</v>
      </c>
      <c r="AZ151" s="45" t="str">
        <f t="shared" si="15"/>
        <v>#DIV/0!</v>
      </c>
      <c r="BB151" s="45">
        <f t="shared" si="16"/>
        <v>0</v>
      </c>
      <c r="BC151" s="45">
        <f t="shared" si="17"/>
        <v>0</v>
      </c>
      <c r="BD151" s="45" t="str">
        <f t="shared" si="18"/>
        <v>#DIV/0!</v>
      </c>
    </row>
    <row r="152" ht="15.75" customHeight="1">
      <c r="A152" s="52">
        <v>142.0</v>
      </c>
      <c r="B152" s="167" t="str">
        <f>'IA Test only'!B153</f>
        <v/>
      </c>
      <c r="C152" s="168" t="str">
        <f>'IA Test only'!C153</f>
        <v/>
      </c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53">
        <f t="shared" si="1"/>
        <v>0</v>
      </c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52">
        <f t="shared" si="2"/>
        <v>0</v>
      </c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52">
        <f t="shared" si="3"/>
        <v>0</v>
      </c>
      <c r="AL152" s="45">
        <f t="shared" si="4"/>
        <v>0</v>
      </c>
      <c r="AM152" s="45">
        <f t="shared" si="5"/>
        <v>0</v>
      </c>
      <c r="AN152" s="45" t="str">
        <f t="shared" si="6"/>
        <v>#DIV/0!</v>
      </c>
      <c r="AP152" s="45">
        <f t="shared" si="7"/>
        <v>0</v>
      </c>
      <c r="AQ152" s="45">
        <f t="shared" si="8"/>
        <v>0</v>
      </c>
      <c r="AR152" s="45" t="str">
        <f t="shared" si="9"/>
        <v>#DIV/0!</v>
      </c>
      <c r="AT152" s="45">
        <f t="shared" si="10"/>
        <v>0</v>
      </c>
      <c r="AU152" s="45">
        <f t="shared" si="11"/>
        <v>0</v>
      </c>
      <c r="AV152" s="45" t="str">
        <f t="shared" si="12"/>
        <v>#DIV/0!</v>
      </c>
      <c r="AX152" s="45">
        <f t="shared" si="13"/>
        <v>0</v>
      </c>
      <c r="AY152" s="45">
        <f t="shared" si="14"/>
        <v>0</v>
      </c>
      <c r="AZ152" s="45" t="str">
        <f t="shared" si="15"/>
        <v>#DIV/0!</v>
      </c>
      <c r="BB152" s="45">
        <f t="shared" si="16"/>
        <v>0</v>
      </c>
      <c r="BC152" s="45">
        <f t="shared" si="17"/>
        <v>0</v>
      </c>
      <c r="BD152" s="45" t="str">
        <f t="shared" si="18"/>
        <v>#DIV/0!</v>
      </c>
    </row>
    <row r="153" ht="15.75" customHeight="1">
      <c r="A153" s="52">
        <v>143.0</v>
      </c>
      <c r="B153" s="167" t="str">
        <f>'IA Test only'!B154</f>
        <v/>
      </c>
      <c r="C153" s="168" t="str">
        <f>'IA Test only'!C154</f>
        <v/>
      </c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53">
        <f t="shared" si="1"/>
        <v>0</v>
      </c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52">
        <f t="shared" si="2"/>
        <v>0</v>
      </c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52">
        <f t="shared" si="3"/>
        <v>0</v>
      </c>
      <c r="AL153" s="45">
        <f t="shared" si="4"/>
        <v>0</v>
      </c>
      <c r="AM153" s="45">
        <f t="shared" si="5"/>
        <v>0</v>
      </c>
      <c r="AN153" s="45" t="str">
        <f t="shared" si="6"/>
        <v>#DIV/0!</v>
      </c>
      <c r="AP153" s="45">
        <f t="shared" si="7"/>
        <v>0</v>
      </c>
      <c r="AQ153" s="45">
        <f t="shared" si="8"/>
        <v>0</v>
      </c>
      <c r="AR153" s="45" t="str">
        <f t="shared" si="9"/>
        <v>#DIV/0!</v>
      </c>
      <c r="AT153" s="45">
        <f t="shared" si="10"/>
        <v>0</v>
      </c>
      <c r="AU153" s="45">
        <f t="shared" si="11"/>
        <v>0</v>
      </c>
      <c r="AV153" s="45" t="str">
        <f t="shared" si="12"/>
        <v>#DIV/0!</v>
      </c>
      <c r="AX153" s="45">
        <f t="shared" si="13"/>
        <v>0</v>
      </c>
      <c r="AY153" s="45">
        <f t="shared" si="14"/>
        <v>0</v>
      </c>
      <c r="AZ153" s="45" t="str">
        <f t="shared" si="15"/>
        <v>#DIV/0!</v>
      </c>
      <c r="BB153" s="45">
        <f t="shared" si="16"/>
        <v>0</v>
      </c>
      <c r="BC153" s="45">
        <f t="shared" si="17"/>
        <v>0</v>
      </c>
      <c r="BD153" s="45" t="str">
        <f t="shared" si="18"/>
        <v>#DIV/0!</v>
      </c>
    </row>
    <row r="154" ht="15.75" customHeight="1">
      <c r="A154" s="52">
        <v>144.0</v>
      </c>
      <c r="B154" s="167" t="str">
        <f>'IA Test only'!B155</f>
        <v/>
      </c>
      <c r="C154" s="168" t="str">
        <f>'IA Test only'!C155</f>
        <v/>
      </c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53">
        <f t="shared" si="1"/>
        <v>0</v>
      </c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52">
        <f t="shared" si="2"/>
        <v>0</v>
      </c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52">
        <f t="shared" si="3"/>
        <v>0</v>
      </c>
      <c r="AL154" s="45">
        <f t="shared" si="4"/>
        <v>0</v>
      </c>
      <c r="AM154" s="45">
        <f t="shared" si="5"/>
        <v>0</v>
      </c>
      <c r="AN154" s="45" t="str">
        <f t="shared" si="6"/>
        <v>#DIV/0!</v>
      </c>
      <c r="AP154" s="45">
        <f t="shared" si="7"/>
        <v>0</v>
      </c>
      <c r="AQ154" s="45">
        <f t="shared" si="8"/>
        <v>0</v>
      </c>
      <c r="AR154" s="45" t="str">
        <f t="shared" si="9"/>
        <v>#DIV/0!</v>
      </c>
      <c r="AT154" s="45">
        <f t="shared" si="10"/>
        <v>0</v>
      </c>
      <c r="AU154" s="45">
        <f t="shared" si="11"/>
        <v>0</v>
      </c>
      <c r="AV154" s="45" t="str">
        <f t="shared" si="12"/>
        <v>#DIV/0!</v>
      </c>
      <c r="AX154" s="45">
        <f t="shared" si="13"/>
        <v>0</v>
      </c>
      <c r="AY154" s="45">
        <f t="shared" si="14"/>
        <v>0</v>
      </c>
      <c r="AZ154" s="45" t="str">
        <f t="shared" si="15"/>
        <v>#DIV/0!</v>
      </c>
      <c r="BB154" s="45">
        <f t="shared" si="16"/>
        <v>0</v>
      </c>
      <c r="BC154" s="45">
        <f t="shared" si="17"/>
        <v>0</v>
      </c>
      <c r="BD154" s="45" t="str">
        <f t="shared" si="18"/>
        <v>#DIV/0!</v>
      </c>
    </row>
    <row r="155" ht="15.75" customHeight="1">
      <c r="A155" s="52">
        <v>145.0</v>
      </c>
      <c r="B155" s="167" t="str">
        <f>'IA Test only'!B156</f>
        <v/>
      </c>
      <c r="C155" s="168" t="str">
        <f>'IA Test only'!C156</f>
        <v/>
      </c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53">
        <f t="shared" si="1"/>
        <v>0</v>
      </c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52">
        <f t="shared" si="2"/>
        <v>0</v>
      </c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52">
        <f t="shared" si="3"/>
        <v>0</v>
      </c>
      <c r="AL155" s="45">
        <f t="shared" si="4"/>
        <v>0</v>
      </c>
      <c r="AM155" s="45">
        <f t="shared" si="5"/>
        <v>0</v>
      </c>
      <c r="AN155" s="45" t="str">
        <f t="shared" si="6"/>
        <v>#DIV/0!</v>
      </c>
      <c r="AP155" s="45">
        <f t="shared" si="7"/>
        <v>0</v>
      </c>
      <c r="AQ155" s="45">
        <f t="shared" si="8"/>
        <v>0</v>
      </c>
      <c r="AR155" s="45" t="str">
        <f t="shared" si="9"/>
        <v>#DIV/0!</v>
      </c>
      <c r="AT155" s="45">
        <f t="shared" si="10"/>
        <v>0</v>
      </c>
      <c r="AU155" s="45">
        <f t="shared" si="11"/>
        <v>0</v>
      </c>
      <c r="AV155" s="45" t="str">
        <f t="shared" si="12"/>
        <v>#DIV/0!</v>
      </c>
      <c r="AX155" s="45">
        <f t="shared" si="13"/>
        <v>0</v>
      </c>
      <c r="AY155" s="45">
        <f t="shared" si="14"/>
        <v>0</v>
      </c>
      <c r="AZ155" s="45" t="str">
        <f t="shared" si="15"/>
        <v>#DIV/0!</v>
      </c>
      <c r="BB155" s="45">
        <f t="shared" si="16"/>
        <v>0</v>
      </c>
      <c r="BC155" s="45">
        <f t="shared" si="17"/>
        <v>0</v>
      </c>
      <c r="BD155" s="45" t="str">
        <f t="shared" si="18"/>
        <v>#DIV/0!</v>
      </c>
    </row>
    <row r="156" ht="15.75" customHeight="1">
      <c r="A156" s="52">
        <v>146.0</v>
      </c>
      <c r="B156" s="167" t="str">
        <f>'IA Test only'!B157</f>
        <v/>
      </c>
      <c r="C156" s="168" t="str">
        <f>'IA Test only'!C157</f>
        <v/>
      </c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53">
        <f t="shared" si="1"/>
        <v>0</v>
      </c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52">
        <f t="shared" si="2"/>
        <v>0</v>
      </c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52">
        <f t="shared" si="3"/>
        <v>0</v>
      </c>
      <c r="AL156" s="45">
        <f t="shared" si="4"/>
        <v>0</v>
      </c>
      <c r="AM156" s="45">
        <f t="shared" si="5"/>
        <v>0</v>
      </c>
      <c r="AN156" s="45" t="str">
        <f t="shared" si="6"/>
        <v>#DIV/0!</v>
      </c>
      <c r="AP156" s="45">
        <f t="shared" si="7"/>
        <v>0</v>
      </c>
      <c r="AQ156" s="45">
        <f t="shared" si="8"/>
        <v>0</v>
      </c>
      <c r="AR156" s="45" t="str">
        <f t="shared" si="9"/>
        <v>#DIV/0!</v>
      </c>
      <c r="AT156" s="45">
        <f t="shared" si="10"/>
        <v>0</v>
      </c>
      <c r="AU156" s="45">
        <f t="shared" si="11"/>
        <v>0</v>
      </c>
      <c r="AV156" s="45" t="str">
        <f t="shared" si="12"/>
        <v>#DIV/0!</v>
      </c>
      <c r="AX156" s="45">
        <f t="shared" si="13"/>
        <v>0</v>
      </c>
      <c r="AY156" s="45">
        <f t="shared" si="14"/>
        <v>0</v>
      </c>
      <c r="AZ156" s="45" t="str">
        <f t="shared" si="15"/>
        <v>#DIV/0!</v>
      </c>
      <c r="BB156" s="45">
        <f t="shared" si="16"/>
        <v>0</v>
      </c>
      <c r="BC156" s="45">
        <f t="shared" si="17"/>
        <v>0</v>
      </c>
      <c r="BD156" s="45" t="str">
        <f t="shared" si="18"/>
        <v>#DIV/0!</v>
      </c>
    </row>
    <row r="157" ht="15.75" customHeight="1">
      <c r="A157" s="52">
        <v>147.0</v>
      </c>
      <c r="B157" s="167" t="str">
        <f>'IA Test only'!B158</f>
        <v/>
      </c>
      <c r="C157" s="168" t="str">
        <f>'IA Test only'!C158</f>
        <v/>
      </c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53">
        <f t="shared" si="1"/>
        <v>0</v>
      </c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52">
        <f t="shared" si="2"/>
        <v>0</v>
      </c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52">
        <f t="shared" si="3"/>
        <v>0</v>
      </c>
      <c r="AL157" s="45">
        <f t="shared" si="4"/>
        <v>0</v>
      </c>
      <c r="AM157" s="45">
        <f t="shared" si="5"/>
        <v>0</v>
      </c>
      <c r="AN157" s="45" t="str">
        <f t="shared" si="6"/>
        <v>#DIV/0!</v>
      </c>
      <c r="AP157" s="45">
        <f t="shared" si="7"/>
        <v>0</v>
      </c>
      <c r="AQ157" s="45">
        <f t="shared" si="8"/>
        <v>0</v>
      </c>
      <c r="AR157" s="45" t="str">
        <f t="shared" si="9"/>
        <v>#DIV/0!</v>
      </c>
      <c r="AT157" s="45">
        <f t="shared" si="10"/>
        <v>0</v>
      </c>
      <c r="AU157" s="45">
        <f t="shared" si="11"/>
        <v>0</v>
      </c>
      <c r="AV157" s="45" t="str">
        <f t="shared" si="12"/>
        <v>#DIV/0!</v>
      </c>
      <c r="AX157" s="45">
        <f t="shared" si="13"/>
        <v>0</v>
      </c>
      <c r="AY157" s="45">
        <f t="shared" si="14"/>
        <v>0</v>
      </c>
      <c r="AZ157" s="45" t="str">
        <f t="shared" si="15"/>
        <v>#DIV/0!</v>
      </c>
      <c r="BB157" s="45">
        <f t="shared" si="16"/>
        <v>0</v>
      </c>
      <c r="BC157" s="45">
        <f t="shared" si="17"/>
        <v>0</v>
      </c>
      <c r="BD157" s="45" t="str">
        <f t="shared" si="18"/>
        <v>#DIV/0!</v>
      </c>
    </row>
    <row r="158" ht="15.75" customHeight="1">
      <c r="A158" s="52">
        <v>148.0</v>
      </c>
      <c r="B158" s="167" t="str">
        <f>'IA Test only'!B159</f>
        <v/>
      </c>
      <c r="C158" s="168" t="str">
        <f>'IA Test only'!C159</f>
        <v/>
      </c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53">
        <f t="shared" si="1"/>
        <v>0</v>
      </c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52">
        <f t="shared" si="2"/>
        <v>0</v>
      </c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52">
        <f t="shared" si="3"/>
        <v>0</v>
      </c>
      <c r="AL158" s="45">
        <f t="shared" si="4"/>
        <v>0</v>
      </c>
      <c r="AM158" s="45">
        <f t="shared" si="5"/>
        <v>0</v>
      </c>
      <c r="AN158" s="45" t="str">
        <f t="shared" si="6"/>
        <v>#DIV/0!</v>
      </c>
      <c r="AP158" s="45">
        <f t="shared" si="7"/>
        <v>0</v>
      </c>
      <c r="AQ158" s="45">
        <f t="shared" si="8"/>
        <v>0</v>
      </c>
      <c r="AR158" s="45" t="str">
        <f t="shared" si="9"/>
        <v>#DIV/0!</v>
      </c>
      <c r="AT158" s="45">
        <f t="shared" si="10"/>
        <v>0</v>
      </c>
      <c r="AU158" s="45">
        <f t="shared" si="11"/>
        <v>0</v>
      </c>
      <c r="AV158" s="45" t="str">
        <f t="shared" si="12"/>
        <v>#DIV/0!</v>
      </c>
      <c r="AX158" s="45">
        <f t="shared" si="13"/>
        <v>0</v>
      </c>
      <c r="AY158" s="45">
        <f t="shared" si="14"/>
        <v>0</v>
      </c>
      <c r="AZ158" s="45" t="str">
        <f t="shared" si="15"/>
        <v>#DIV/0!</v>
      </c>
      <c r="BB158" s="45">
        <f t="shared" si="16"/>
        <v>0</v>
      </c>
      <c r="BC158" s="45">
        <f t="shared" si="17"/>
        <v>0</v>
      </c>
      <c r="BD158" s="45" t="str">
        <f t="shared" si="18"/>
        <v>#DIV/0!</v>
      </c>
    </row>
    <row r="159" ht="15.75" customHeight="1">
      <c r="A159" s="52">
        <v>149.0</v>
      </c>
      <c r="B159" s="167" t="str">
        <f>'IA Test only'!B160</f>
        <v/>
      </c>
      <c r="C159" s="168" t="str">
        <f>'IA Test only'!C160</f>
        <v/>
      </c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53">
        <f t="shared" si="1"/>
        <v>0</v>
      </c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52">
        <f t="shared" si="2"/>
        <v>0</v>
      </c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52">
        <f t="shared" si="3"/>
        <v>0</v>
      </c>
      <c r="AL159" s="45">
        <f t="shared" si="4"/>
        <v>0</v>
      </c>
      <c r="AM159" s="45">
        <f t="shared" si="5"/>
        <v>0</v>
      </c>
      <c r="AN159" s="45" t="str">
        <f t="shared" si="6"/>
        <v>#DIV/0!</v>
      </c>
      <c r="AP159" s="45">
        <f t="shared" si="7"/>
        <v>0</v>
      </c>
      <c r="AQ159" s="45">
        <f t="shared" si="8"/>
        <v>0</v>
      </c>
      <c r="AR159" s="45" t="str">
        <f t="shared" si="9"/>
        <v>#DIV/0!</v>
      </c>
      <c r="AT159" s="45">
        <f t="shared" si="10"/>
        <v>0</v>
      </c>
      <c r="AU159" s="45">
        <f t="shared" si="11"/>
        <v>0</v>
      </c>
      <c r="AV159" s="45" t="str">
        <f t="shared" si="12"/>
        <v>#DIV/0!</v>
      </c>
      <c r="AX159" s="45">
        <f t="shared" si="13"/>
        <v>0</v>
      </c>
      <c r="AY159" s="45">
        <f t="shared" si="14"/>
        <v>0</v>
      </c>
      <c r="AZ159" s="45" t="str">
        <f t="shared" si="15"/>
        <v>#DIV/0!</v>
      </c>
      <c r="BB159" s="45">
        <f t="shared" si="16"/>
        <v>0</v>
      </c>
      <c r="BC159" s="45">
        <f t="shared" si="17"/>
        <v>0</v>
      </c>
      <c r="BD159" s="45" t="str">
        <f t="shared" si="18"/>
        <v>#DIV/0!</v>
      </c>
    </row>
    <row r="160" ht="15.75" customHeight="1">
      <c r="A160" s="52">
        <v>150.0</v>
      </c>
      <c r="B160" s="167" t="str">
        <f>'IA Test only'!B161</f>
        <v/>
      </c>
      <c r="C160" s="168" t="str">
        <f>'IA Test only'!C161</f>
        <v/>
      </c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53">
        <f t="shared" si="1"/>
        <v>0</v>
      </c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52">
        <f t="shared" si="2"/>
        <v>0</v>
      </c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52">
        <f t="shared" si="3"/>
        <v>0</v>
      </c>
      <c r="AL160" s="45">
        <f t="shared" si="4"/>
        <v>0</v>
      </c>
      <c r="AM160" s="45">
        <f t="shared" si="5"/>
        <v>0</v>
      </c>
      <c r="AN160" s="45" t="str">
        <f t="shared" si="6"/>
        <v>#DIV/0!</v>
      </c>
      <c r="AP160" s="45">
        <f t="shared" si="7"/>
        <v>0</v>
      </c>
      <c r="AQ160" s="45">
        <f t="shared" si="8"/>
        <v>0</v>
      </c>
      <c r="AR160" s="45" t="str">
        <f t="shared" si="9"/>
        <v>#DIV/0!</v>
      </c>
      <c r="AT160" s="45">
        <f t="shared" si="10"/>
        <v>0</v>
      </c>
      <c r="AU160" s="45">
        <f t="shared" si="11"/>
        <v>0</v>
      </c>
      <c r="AV160" s="45" t="str">
        <f t="shared" si="12"/>
        <v>#DIV/0!</v>
      </c>
      <c r="AX160" s="45">
        <f t="shared" si="13"/>
        <v>0</v>
      </c>
      <c r="AY160" s="45">
        <f t="shared" si="14"/>
        <v>0</v>
      </c>
      <c r="AZ160" s="45" t="str">
        <f t="shared" si="15"/>
        <v>#DIV/0!</v>
      </c>
      <c r="BB160" s="45">
        <f t="shared" si="16"/>
        <v>0</v>
      </c>
      <c r="BC160" s="45">
        <f t="shared" si="17"/>
        <v>0</v>
      </c>
      <c r="BD160" s="45" t="str">
        <f t="shared" si="18"/>
        <v>#DIV/0!</v>
      </c>
    </row>
    <row r="161" ht="15.75" customHeight="1">
      <c r="A161" s="52">
        <v>151.0</v>
      </c>
      <c r="B161" s="167" t="str">
        <f>'IA Test only'!B162</f>
        <v/>
      </c>
      <c r="C161" s="168" t="str">
        <f>'IA Test only'!C162</f>
        <v/>
      </c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53">
        <f t="shared" si="1"/>
        <v>0</v>
      </c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52">
        <f t="shared" si="2"/>
        <v>0</v>
      </c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52">
        <f t="shared" si="3"/>
        <v>0</v>
      </c>
      <c r="AL161" s="45">
        <f t="shared" si="4"/>
        <v>0</v>
      </c>
      <c r="AM161" s="45">
        <f t="shared" si="5"/>
        <v>0</v>
      </c>
      <c r="AN161" s="45" t="str">
        <f t="shared" si="6"/>
        <v>#DIV/0!</v>
      </c>
      <c r="AP161" s="45">
        <f t="shared" si="7"/>
        <v>0</v>
      </c>
      <c r="AQ161" s="45">
        <f t="shared" si="8"/>
        <v>0</v>
      </c>
      <c r="AR161" s="45" t="str">
        <f t="shared" si="9"/>
        <v>#DIV/0!</v>
      </c>
      <c r="AT161" s="45">
        <f t="shared" si="10"/>
        <v>0</v>
      </c>
      <c r="AU161" s="45">
        <f t="shared" si="11"/>
        <v>0</v>
      </c>
      <c r="AV161" s="45" t="str">
        <f t="shared" si="12"/>
        <v>#DIV/0!</v>
      </c>
      <c r="AX161" s="45">
        <f t="shared" si="13"/>
        <v>0</v>
      </c>
      <c r="AY161" s="45">
        <f t="shared" si="14"/>
        <v>0</v>
      </c>
      <c r="AZ161" s="45" t="str">
        <f t="shared" si="15"/>
        <v>#DIV/0!</v>
      </c>
      <c r="BB161" s="45">
        <f t="shared" si="16"/>
        <v>0</v>
      </c>
      <c r="BC161" s="45">
        <f t="shared" si="17"/>
        <v>0</v>
      </c>
      <c r="BD161" s="45" t="str">
        <f t="shared" si="18"/>
        <v>#DIV/0!</v>
      </c>
    </row>
    <row r="162" ht="15.75" customHeight="1">
      <c r="A162" s="52">
        <v>152.0</v>
      </c>
      <c r="B162" s="167" t="str">
        <f>'IA Test only'!B163</f>
        <v/>
      </c>
      <c r="C162" s="168" t="str">
        <f>'IA Test only'!C163</f>
        <v/>
      </c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53">
        <f t="shared" si="1"/>
        <v>0</v>
      </c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52">
        <f t="shared" si="2"/>
        <v>0</v>
      </c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52">
        <f t="shared" si="3"/>
        <v>0</v>
      </c>
      <c r="AL162" s="45">
        <f t="shared" si="4"/>
        <v>0</v>
      </c>
      <c r="AM162" s="45">
        <f t="shared" si="5"/>
        <v>0</v>
      </c>
      <c r="AN162" s="45" t="str">
        <f t="shared" si="6"/>
        <v>#DIV/0!</v>
      </c>
      <c r="AP162" s="45">
        <f t="shared" si="7"/>
        <v>0</v>
      </c>
      <c r="AQ162" s="45">
        <f t="shared" si="8"/>
        <v>0</v>
      </c>
      <c r="AR162" s="45" t="str">
        <f t="shared" si="9"/>
        <v>#DIV/0!</v>
      </c>
      <c r="AT162" s="45">
        <f t="shared" si="10"/>
        <v>0</v>
      </c>
      <c r="AU162" s="45">
        <f t="shared" si="11"/>
        <v>0</v>
      </c>
      <c r="AV162" s="45" t="str">
        <f t="shared" si="12"/>
        <v>#DIV/0!</v>
      </c>
      <c r="AX162" s="45">
        <f t="shared" si="13"/>
        <v>0</v>
      </c>
      <c r="AY162" s="45">
        <f t="shared" si="14"/>
        <v>0</v>
      </c>
      <c r="AZ162" s="45" t="str">
        <f t="shared" si="15"/>
        <v>#DIV/0!</v>
      </c>
      <c r="BB162" s="45">
        <f t="shared" si="16"/>
        <v>0</v>
      </c>
      <c r="BC162" s="45">
        <f t="shared" si="17"/>
        <v>0</v>
      </c>
      <c r="BD162" s="45" t="str">
        <f t="shared" si="18"/>
        <v>#DIV/0!</v>
      </c>
    </row>
    <row r="163" ht="15.75" customHeight="1">
      <c r="A163" s="52">
        <v>153.0</v>
      </c>
      <c r="B163" s="167" t="str">
        <f>'IA Test only'!B164</f>
        <v/>
      </c>
      <c r="C163" s="168" t="str">
        <f>'IA Test only'!C164</f>
        <v/>
      </c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53">
        <f t="shared" si="1"/>
        <v>0</v>
      </c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52">
        <f t="shared" si="2"/>
        <v>0</v>
      </c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52">
        <f t="shared" si="3"/>
        <v>0</v>
      </c>
      <c r="AL163" s="45">
        <f t="shared" si="4"/>
        <v>0</v>
      </c>
      <c r="AM163" s="45">
        <f t="shared" si="5"/>
        <v>0</v>
      </c>
      <c r="AN163" s="45" t="str">
        <f t="shared" si="6"/>
        <v>#DIV/0!</v>
      </c>
      <c r="AP163" s="45">
        <f t="shared" si="7"/>
        <v>0</v>
      </c>
      <c r="AQ163" s="45">
        <f t="shared" si="8"/>
        <v>0</v>
      </c>
      <c r="AR163" s="45" t="str">
        <f t="shared" si="9"/>
        <v>#DIV/0!</v>
      </c>
      <c r="AT163" s="45">
        <f t="shared" si="10"/>
        <v>0</v>
      </c>
      <c r="AU163" s="45">
        <f t="shared" si="11"/>
        <v>0</v>
      </c>
      <c r="AV163" s="45" t="str">
        <f t="shared" si="12"/>
        <v>#DIV/0!</v>
      </c>
      <c r="AX163" s="45">
        <f t="shared" si="13"/>
        <v>0</v>
      </c>
      <c r="AY163" s="45">
        <f t="shared" si="14"/>
        <v>0</v>
      </c>
      <c r="AZ163" s="45" t="str">
        <f t="shared" si="15"/>
        <v>#DIV/0!</v>
      </c>
      <c r="BB163" s="45">
        <f t="shared" si="16"/>
        <v>0</v>
      </c>
      <c r="BC163" s="45">
        <f t="shared" si="17"/>
        <v>0</v>
      </c>
      <c r="BD163" s="45" t="str">
        <f t="shared" si="18"/>
        <v>#DIV/0!</v>
      </c>
    </row>
    <row r="164" ht="15.75" customHeight="1">
      <c r="A164" s="52">
        <v>154.0</v>
      </c>
      <c r="B164" s="167" t="str">
        <f>'IA Test only'!B165</f>
        <v/>
      </c>
      <c r="C164" s="168" t="str">
        <f>'IA Test only'!C165</f>
        <v/>
      </c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53">
        <f t="shared" si="1"/>
        <v>0</v>
      </c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52">
        <f t="shared" si="2"/>
        <v>0</v>
      </c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52">
        <f t="shared" si="3"/>
        <v>0</v>
      </c>
      <c r="AL164" s="45">
        <f t="shared" si="4"/>
        <v>0</v>
      </c>
      <c r="AM164" s="45">
        <f t="shared" si="5"/>
        <v>0</v>
      </c>
      <c r="AN164" s="45" t="str">
        <f t="shared" si="6"/>
        <v>#DIV/0!</v>
      </c>
      <c r="AP164" s="45">
        <f t="shared" si="7"/>
        <v>0</v>
      </c>
      <c r="AQ164" s="45">
        <f t="shared" si="8"/>
        <v>0</v>
      </c>
      <c r="AR164" s="45" t="str">
        <f t="shared" si="9"/>
        <v>#DIV/0!</v>
      </c>
      <c r="AT164" s="45">
        <f t="shared" si="10"/>
        <v>0</v>
      </c>
      <c r="AU164" s="45">
        <f t="shared" si="11"/>
        <v>0</v>
      </c>
      <c r="AV164" s="45" t="str">
        <f t="shared" si="12"/>
        <v>#DIV/0!</v>
      </c>
      <c r="AX164" s="45">
        <f t="shared" si="13"/>
        <v>0</v>
      </c>
      <c r="AY164" s="45">
        <f t="shared" si="14"/>
        <v>0</v>
      </c>
      <c r="AZ164" s="45" t="str">
        <f t="shared" si="15"/>
        <v>#DIV/0!</v>
      </c>
      <c r="BB164" s="45">
        <f t="shared" si="16"/>
        <v>0</v>
      </c>
      <c r="BC164" s="45">
        <f t="shared" si="17"/>
        <v>0</v>
      </c>
      <c r="BD164" s="45" t="str">
        <f t="shared" si="18"/>
        <v>#DIV/0!</v>
      </c>
    </row>
    <row r="165" ht="15.75" customHeight="1">
      <c r="A165" s="52">
        <v>155.0</v>
      </c>
      <c r="B165" s="167" t="str">
        <f>'IA Test only'!B166</f>
        <v/>
      </c>
      <c r="C165" s="168" t="str">
        <f>'IA Test only'!C166</f>
        <v/>
      </c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53">
        <f t="shared" si="1"/>
        <v>0</v>
      </c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52">
        <f t="shared" si="2"/>
        <v>0</v>
      </c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52">
        <f t="shared" si="3"/>
        <v>0</v>
      </c>
      <c r="AL165" s="45">
        <f t="shared" si="4"/>
        <v>0</v>
      </c>
      <c r="AM165" s="45">
        <f t="shared" si="5"/>
        <v>0</v>
      </c>
      <c r="AN165" s="45" t="str">
        <f t="shared" si="6"/>
        <v>#DIV/0!</v>
      </c>
      <c r="AP165" s="45">
        <f t="shared" si="7"/>
        <v>0</v>
      </c>
      <c r="AQ165" s="45">
        <f t="shared" si="8"/>
        <v>0</v>
      </c>
      <c r="AR165" s="45" t="str">
        <f t="shared" si="9"/>
        <v>#DIV/0!</v>
      </c>
      <c r="AT165" s="45">
        <f t="shared" si="10"/>
        <v>0</v>
      </c>
      <c r="AU165" s="45">
        <f t="shared" si="11"/>
        <v>0</v>
      </c>
      <c r="AV165" s="45" t="str">
        <f t="shared" si="12"/>
        <v>#DIV/0!</v>
      </c>
      <c r="AX165" s="45">
        <f t="shared" si="13"/>
        <v>0</v>
      </c>
      <c r="AY165" s="45">
        <f t="shared" si="14"/>
        <v>0</v>
      </c>
      <c r="AZ165" s="45" t="str">
        <f t="shared" si="15"/>
        <v>#DIV/0!</v>
      </c>
      <c r="BB165" s="45">
        <f t="shared" si="16"/>
        <v>0</v>
      </c>
      <c r="BC165" s="45">
        <f t="shared" si="17"/>
        <v>0</v>
      </c>
      <c r="BD165" s="45" t="str">
        <f t="shared" si="18"/>
        <v>#DIV/0!</v>
      </c>
    </row>
    <row r="166" ht="15.75" customHeight="1">
      <c r="A166" s="52">
        <v>156.0</v>
      </c>
      <c r="B166" s="167" t="str">
        <f>'IA Test only'!B167</f>
        <v/>
      </c>
      <c r="C166" s="168" t="str">
        <f>'IA Test only'!C167</f>
        <v/>
      </c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53">
        <f t="shared" si="1"/>
        <v>0</v>
      </c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52">
        <f t="shared" si="2"/>
        <v>0</v>
      </c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52">
        <f t="shared" si="3"/>
        <v>0</v>
      </c>
      <c r="AL166" s="45">
        <f t="shared" si="4"/>
        <v>0</v>
      </c>
      <c r="AM166" s="45">
        <f t="shared" si="5"/>
        <v>0</v>
      </c>
      <c r="AN166" s="45" t="str">
        <f t="shared" si="6"/>
        <v>#DIV/0!</v>
      </c>
      <c r="AP166" s="45">
        <f t="shared" si="7"/>
        <v>0</v>
      </c>
      <c r="AQ166" s="45">
        <f t="shared" si="8"/>
        <v>0</v>
      </c>
      <c r="AR166" s="45" t="str">
        <f t="shared" si="9"/>
        <v>#DIV/0!</v>
      </c>
      <c r="AT166" s="45">
        <f t="shared" si="10"/>
        <v>0</v>
      </c>
      <c r="AU166" s="45">
        <f t="shared" si="11"/>
        <v>0</v>
      </c>
      <c r="AV166" s="45" t="str">
        <f t="shared" si="12"/>
        <v>#DIV/0!</v>
      </c>
      <c r="AX166" s="45">
        <f t="shared" si="13"/>
        <v>0</v>
      </c>
      <c r="AY166" s="45">
        <f t="shared" si="14"/>
        <v>0</v>
      </c>
      <c r="AZ166" s="45" t="str">
        <f t="shared" si="15"/>
        <v>#DIV/0!</v>
      </c>
      <c r="BB166" s="45">
        <f t="shared" si="16"/>
        <v>0</v>
      </c>
      <c r="BC166" s="45">
        <f t="shared" si="17"/>
        <v>0</v>
      </c>
      <c r="BD166" s="45" t="str">
        <f t="shared" si="18"/>
        <v>#DIV/0!</v>
      </c>
    </row>
    <row r="167" ht="15.75" customHeight="1">
      <c r="A167" s="52">
        <v>157.0</v>
      </c>
      <c r="B167" s="167" t="str">
        <f>'IA Test only'!B168</f>
        <v/>
      </c>
      <c r="C167" s="168" t="str">
        <f>'IA Test only'!C168</f>
        <v/>
      </c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53">
        <f t="shared" si="1"/>
        <v>0</v>
      </c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52">
        <f t="shared" si="2"/>
        <v>0</v>
      </c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52">
        <f t="shared" si="3"/>
        <v>0</v>
      </c>
      <c r="AL167" s="45">
        <f t="shared" si="4"/>
        <v>0</v>
      </c>
      <c r="AM167" s="45">
        <f t="shared" si="5"/>
        <v>0</v>
      </c>
      <c r="AN167" s="45" t="str">
        <f t="shared" si="6"/>
        <v>#DIV/0!</v>
      </c>
      <c r="AP167" s="45">
        <f t="shared" si="7"/>
        <v>0</v>
      </c>
      <c r="AQ167" s="45">
        <f t="shared" si="8"/>
        <v>0</v>
      </c>
      <c r="AR167" s="45" t="str">
        <f t="shared" si="9"/>
        <v>#DIV/0!</v>
      </c>
      <c r="AT167" s="45">
        <f t="shared" si="10"/>
        <v>0</v>
      </c>
      <c r="AU167" s="45">
        <f t="shared" si="11"/>
        <v>0</v>
      </c>
      <c r="AV167" s="45" t="str">
        <f t="shared" si="12"/>
        <v>#DIV/0!</v>
      </c>
      <c r="AX167" s="45">
        <f t="shared" si="13"/>
        <v>0</v>
      </c>
      <c r="AY167" s="45">
        <f t="shared" si="14"/>
        <v>0</v>
      </c>
      <c r="AZ167" s="45" t="str">
        <f t="shared" si="15"/>
        <v>#DIV/0!</v>
      </c>
      <c r="BB167" s="45">
        <f t="shared" si="16"/>
        <v>0</v>
      </c>
      <c r="BC167" s="45">
        <f t="shared" si="17"/>
        <v>0</v>
      </c>
      <c r="BD167" s="45" t="str">
        <f t="shared" si="18"/>
        <v>#DIV/0!</v>
      </c>
    </row>
    <row r="168" ht="15.75" customHeight="1">
      <c r="A168" s="52">
        <v>158.0</v>
      </c>
      <c r="B168" s="167" t="str">
        <f>'IA Test only'!B169</f>
        <v/>
      </c>
      <c r="C168" s="168" t="str">
        <f>'IA Test only'!C169</f>
        <v/>
      </c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53">
        <f t="shared" si="1"/>
        <v>0</v>
      </c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52">
        <f t="shared" si="2"/>
        <v>0</v>
      </c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52">
        <f t="shared" si="3"/>
        <v>0</v>
      </c>
      <c r="AL168" s="45">
        <f t="shared" si="4"/>
        <v>0</v>
      </c>
      <c r="AM168" s="45">
        <f t="shared" si="5"/>
        <v>0</v>
      </c>
      <c r="AN168" s="45" t="str">
        <f t="shared" si="6"/>
        <v>#DIV/0!</v>
      </c>
      <c r="AP168" s="45">
        <f t="shared" si="7"/>
        <v>0</v>
      </c>
      <c r="AQ168" s="45">
        <f t="shared" si="8"/>
        <v>0</v>
      </c>
      <c r="AR168" s="45" t="str">
        <f t="shared" si="9"/>
        <v>#DIV/0!</v>
      </c>
      <c r="AT168" s="45">
        <f t="shared" si="10"/>
        <v>0</v>
      </c>
      <c r="AU168" s="45">
        <f t="shared" si="11"/>
        <v>0</v>
      </c>
      <c r="AV168" s="45" t="str">
        <f t="shared" si="12"/>
        <v>#DIV/0!</v>
      </c>
      <c r="AX168" s="45">
        <f t="shared" si="13"/>
        <v>0</v>
      </c>
      <c r="AY168" s="45">
        <f t="shared" si="14"/>
        <v>0</v>
      </c>
      <c r="AZ168" s="45" t="str">
        <f t="shared" si="15"/>
        <v>#DIV/0!</v>
      </c>
      <c r="BB168" s="45">
        <f t="shared" si="16"/>
        <v>0</v>
      </c>
      <c r="BC168" s="45">
        <f t="shared" si="17"/>
        <v>0</v>
      </c>
      <c r="BD168" s="45" t="str">
        <f t="shared" si="18"/>
        <v>#DIV/0!</v>
      </c>
    </row>
    <row r="169" ht="15.75" customHeight="1">
      <c r="A169" s="52">
        <v>159.0</v>
      </c>
      <c r="B169" s="167" t="str">
        <f>'IA Test only'!B170</f>
        <v/>
      </c>
      <c r="C169" s="168" t="str">
        <f>'IA Test only'!C170</f>
        <v/>
      </c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53">
        <f t="shared" si="1"/>
        <v>0</v>
      </c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52">
        <f t="shared" si="2"/>
        <v>0</v>
      </c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52">
        <f t="shared" si="3"/>
        <v>0</v>
      </c>
      <c r="AL169" s="45">
        <f t="shared" si="4"/>
        <v>0</v>
      </c>
      <c r="AM169" s="45">
        <f t="shared" si="5"/>
        <v>0</v>
      </c>
      <c r="AN169" s="45" t="str">
        <f t="shared" si="6"/>
        <v>#DIV/0!</v>
      </c>
      <c r="AP169" s="45">
        <f t="shared" si="7"/>
        <v>0</v>
      </c>
      <c r="AQ169" s="45">
        <f t="shared" si="8"/>
        <v>0</v>
      </c>
      <c r="AR169" s="45" t="str">
        <f t="shared" si="9"/>
        <v>#DIV/0!</v>
      </c>
      <c r="AT169" s="45">
        <f t="shared" si="10"/>
        <v>0</v>
      </c>
      <c r="AU169" s="45">
        <f t="shared" si="11"/>
        <v>0</v>
      </c>
      <c r="AV169" s="45" t="str">
        <f t="shared" si="12"/>
        <v>#DIV/0!</v>
      </c>
      <c r="AX169" s="45">
        <f t="shared" si="13"/>
        <v>0</v>
      </c>
      <c r="AY169" s="45">
        <f t="shared" si="14"/>
        <v>0</v>
      </c>
      <c r="AZ169" s="45" t="str">
        <f t="shared" si="15"/>
        <v>#DIV/0!</v>
      </c>
      <c r="BB169" s="45">
        <f t="shared" si="16"/>
        <v>0</v>
      </c>
      <c r="BC169" s="45">
        <f t="shared" si="17"/>
        <v>0</v>
      </c>
      <c r="BD169" s="45" t="str">
        <f t="shared" si="18"/>
        <v>#DIV/0!</v>
      </c>
    </row>
    <row r="170" ht="15.75" customHeight="1">
      <c r="A170" s="52">
        <v>160.0</v>
      </c>
      <c r="B170" s="167" t="str">
        <f>'IA Test only'!B171</f>
        <v/>
      </c>
      <c r="C170" s="168" t="str">
        <f>'IA Test only'!C171</f>
        <v/>
      </c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53">
        <f t="shared" si="1"/>
        <v>0</v>
      </c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52">
        <f t="shared" si="2"/>
        <v>0</v>
      </c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52">
        <f t="shared" si="3"/>
        <v>0</v>
      </c>
      <c r="AL170" s="45">
        <f t="shared" si="4"/>
        <v>0</v>
      </c>
      <c r="AM170" s="45">
        <f t="shared" si="5"/>
        <v>0</v>
      </c>
      <c r="AN170" s="45" t="str">
        <f t="shared" si="6"/>
        <v>#DIV/0!</v>
      </c>
      <c r="AP170" s="45">
        <f t="shared" si="7"/>
        <v>0</v>
      </c>
      <c r="AQ170" s="45">
        <f t="shared" si="8"/>
        <v>0</v>
      </c>
      <c r="AR170" s="45" t="str">
        <f t="shared" si="9"/>
        <v>#DIV/0!</v>
      </c>
      <c r="AT170" s="45">
        <f t="shared" si="10"/>
        <v>0</v>
      </c>
      <c r="AU170" s="45">
        <f t="shared" si="11"/>
        <v>0</v>
      </c>
      <c r="AV170" s="45" t="str">
        <f t="shared" si="12"/>
        <v>#DIV/0!</v>
      </c>
      <c r="AX170" s="45">
        <f t="shared" si="13"/>
        <v>0</v>
      </c>
      <c r="AY170" s="45">
        <f t="shared" si="14"/>
        <v>0</v>
      </c>
      <c r="AZ170" s="45" t="str">
        <f t="shared" si="15"/>
        <v>#DIV/0!</v>
      </c>
      <c r="BB170" s="45">
        <f t="shared" si="16"/>
        <v>0</v>
      </c>
      <c r="BC170" s="45">
        <f t="shared" si="17"/>
        <v>0</v>
      </c>
      <c r="BD170" s="45" t="str">
        <f t="shared" si="18"/>
        <v>#DIV/0!</v>
      </c>
    </row>
    <row r="171" ht="15.75" customHeight="1">
      <c r="A171" s="52">
        <v>161.0</v>
      </c>
      <c r="B171" s="167" t="str">
        <f>'IA Test only'!B172</f>
        <v/>
      </c>
      <c r="C171" s="168" t="str">
        <f>'IA Test only'!C172</f>
        <v/>
      </c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53">
        <f t="shared" si="1"/>
        <v>0</v>
      </c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52">
        <f t="shared" si="2"/>
        <v>0</v>
      </c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52">
        <f t="shared" si="3"/>
        <v>0</v>
      </c>
      <c r="AL171" s="45">
        <f t="shared" si="4"/>
        <v>0</v>
      </c>
      <c r="AM171" s="45">
        <f t="shared" si="5"/>
        <v>0</v>
      </c>
      <c r="AN171" s="45" t="str">
        <f t="shared" si="6"/>
        <v>#DIV/0!</v>
      </c>
      <c r="AP171" s="45">
        <f t="shared" si="7"/>
        <v>0</v>
      </c>
      <c r="AQ171" s="45">
        <f t="shared" si="8"/>
        <v>0</v>
      </c>
      <c r="AR171" s="45" t="str">
        <f t="shared" si="9"/>
        <v>#DIV/0!</v>
      </c>
      <c r="AT171" s="45">
        <f t="shared" si="10"/>
        <v>0</v>
      </c>
      <c r="AU171" s="45">
        <f t="shared" si="11"/>
        <v>0</v>
      </c>
      <c r="AV171" s="45" t="str">
        <f t="shared" si="12"/>
        <v>#DIV/0!</v>
      </c>
      <c r="AX171" s="45">
        <f t="shared" si="13"/>
        <v>0</v>
      </c>
      <c r="AY171" s="45">
        <f t="shared" si="14"/>
        <v>0</v>
      </c>
      <c r="AZ171" s="45" t="str">
        <f t="shared" si="15"/>
        <v>#DIV/0!</v>
      </c>
      <c r="BB171" s="45">
        <f t="shared" si="16"/>
        <v>0</v>
      </c>
      <c r="BC171" s="45">
        <f t="shared" si="17"/>
        <v>0</v>
      </c>
      <c r="BD171" s="45" t="str">
        <f t="shared" si="18"/>
        <v>#DIV/0!</v>
      </c>
    </row>
    <row r="172" ht="15.75" customHeight="1">
      <c r="A172" s="52">
        <v>162.0</v>
      </c>
      <c r="B172" s="167" t="str">
        <f>'IA Test only'!B173</f>
        <v/>
      </c>
      <c r="C172" s="168" t="str">
        <f>'IA Test only'!C173</f>
        <v/>
      </c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53">
        <f t="shared" si="1"/>
        <v>0</v>
      </c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52">
        <f t="shared" si="2"/>
        <v>0</v>
      </c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52">
        <f t="shared" si="3"/>
        <v>0</v>
      </c>
      <c r="AL172" s="45">
        <f t="shared" si="4"/>
        <v>0</v>
      </c>
      <c r="AM172" s="45">
        <f t="shared" si="5"/>
        <v>0</v>
      </c>
      <c r="AN172" s="45" t="str">
        <f t="shared" si="6"/>
        <v>#DIV/0!</v>
      </c>
      <c r="AP172" s="45">
        <f t="shared" si="7"/>
        <v>0</v>
      </c>
      <c r="AQ172" s="45">
        <f t="shared" si="8"/>
        <v>0</v>
      </c>
      <c r="AR172" s="45" t="str">
        <f t="shared" si="9"/>
        <v>#DIV/0!</v>
      </c>
      <c r="AT172" s="45">
        <f t="shared" si="10"/>
        <v>0</v>
      </c>
      <c r="AU172" s="45">
        <f t="shared" si="11"/>
        <v>0</v>
      </c>
      <c r="AV172" s="45" t="str">
        <f t="shared" si="12"/>
        <v>#DIV/0!</v>
      </c>
      <c r="AX172" s="45">
        <f t="shared" si="13"/>
        <v>0</v>
      </c>
      <c r="AY172" s="45">
        <f t="shared" si="14"/>
        <v>0</v>
      </c>
      <c r="AZ172" s="45" t="str">
        <f t="shared" si="15"/>
        <v>#DIV/0!</v>
      </c>
      <c r="BB172" s="45">
        <f t="shared" si="16"/>
        <v>0</v>
      </c>
      <c r="BC172" s="45">
        <f t="shared" si="17"/>
        <v>0</v>
      </c>
      <c r="BD172" s="45" t="str">
        <f t="shared" si="18"/>
        <v>#DIV/0!</v>
      </c>
    </row>
    <row r="173" ht="15.75" customHeight="1">
      <c r="A173" s="52">
        <v>163.0</v>
      </c>
      <c r="B173" s="167" t="str">
        <f>'IA Test only'!B174</f>
        <v/>
      </c>
      <c r="C173" s="168" t="str">
        <f>'IA Test only'!C174</f>
        <v/>
      </c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53">
        <f t="shared" si="1"/>
        <v>0</v>
      </c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52">
        <f t="shared" si="2"/>
        <v>0</v>
      </c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  <c r="AJ173" s="52">
        <f t="shared" si="3"/>
        <v>0</v>
      </c>
      <c r="AL173" s="45">
        <f t="shared" si="4"/>
        <v>0</v>
      </c>
      <c r="AM173" s="45">
        <f t="shared" si="5"/>
        <v>0</v>
      </c>
      <c r="AN173" s="45" t="str">
        <f t="shared" si="6"/>
        <v>#DIV/0!</v>
      </c>
      <c r="AP173" s="45">
        <f t="shared" si="7"/>
        <v>0</v>
      </c>
      <c r="AQ173" s="45">
        <f t="shared" si="8"/>
        <v>0</v>
      </c>
      <c r="AR173" s="45" t="str">
        <f t="shared" si="9"/>
        <v>#DIV/0!</v>
      </c>
      <c r="AT173" s="45">
        <f t="shared" si="10"/>
        <v>0</v>
      </c>
      <c r="AU173" s="45">
        <f t="shared" si="11"/>
        <v>0</v>
      </c>
      <c r="AV173" s="45" t="str">
        <f t="shared" si="12"/>
        <v>#DIV/0!</v>
      </c>
      <c r="AX173" s="45">
        <f t="shared" si="13"/>
        <v>0</v>
      </c>
      <c r="AY173" s="45">
        <f t="shared" si="14"/>
        <v>0</v>
      </c>
      <c r="AZ173" s="45" t="str">
        <f t="shared" si="15"/>
        <v>#DIV/0!</v>
      </c>
      <c r="BB173" s="45">
        <f t="shared" si="16"/>
        <v>0</v>
      </c>
      <c r="BC173" s="45">
        <f t="shared" si="17"/>
        <v>0</v>
      </c>
      <c r="BD173" s="45" t="str">
        <f t="shared" si="18"/>
        <v>#DIV/0!</v>
      </c>
    </row>
    <row r="174" ht="15.75" customHeight="1">
      <c r="A174" s="52">
        <v>164.0</v>
      </c>
      <c r="B174" s="167" t="str">
        <f>'IA Test only'!B175</f>
        <v/>
      </c>
      <c r="C174" s="168" t="str">
        <f>'IA Test only'!C175</f>
        <v/>
      </c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53">
        <f t="shared" si="1"/>
        <v>0</v>
      </c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52">
        <f t="shared" si="2"/>
        <v>0</v>
      </c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52">
        <f t="shared" si="3"/>
        <v>0</v>
      </c>
      <c r="AL174" s="45">
        <f t="shared" si="4"/>
        <v>0</v>
      </c>
      <c r="AM174" s="45">
        <f t="shared" si="5"/>
        <v>0</v>
      </c>
      <c r="AN174" s="45" t="str">
        <f t="shared" si="6"/>
        <v>#DIV/0!</v>
      </c>
      <c r="AP174" s="45">
        <f t="shared" si="7"/>
        <v>0</v>
      </c>
      <c r="AQ174" s="45">
        <f t="shared" si="8"/>
        <v>0</v>
      </c>
      <c r="AR174" s="45" t="str">
        <f t="shared" si="9"/>
        <v>#DIV/0!</v>
      </c>
      <c r="AT174" s="45">
        <f t="shared" si="10"/>
        <v>0</v>
      </c>
      <c r="AU174" s="45">
        <f t="shared" si="11"/>
        <v>0</v>
      </c>
      <c r="AV174" s="45" t="str">
        <f t="shared" si="12"/>
        <v>#DIV/0!</v>
      </c>
      <c r="AX174" s="45">
        <f t="shared" si="13"/>
        <v>0</v>
      </c>
      <c r="AY174" s="45">
        <f t="shared" si="14"/>
        <v>0</v>
      </c>
      <c r="AZ174" s="45" t="str">
        <f t="shared" si="15"/>
        <v>#DIV/0!</v>
      </c>
      <c r="BB174" s="45">
        <f t="shared" si="16"/>
        <v>0</v>
      </c>
      <c r="BC174" s="45">
        <f t="shared" si="17"/>
        <v>0</v>
      </c>
      <c r="BD174" s="45" t="str">
        <f t="shared" si="18"/>
        <v>#DIV/0!</v>
      </c>
    </row>
    <row r="175" ht="15.75" customHeight="1">
      <c r="A175" s="52">
        <v>165.0</v>
      </c>
      <c r="B175" s="167" t="str">
        <f>'IA Test only'!B176</f>
        <v/>
      </c>
      <c r="C175" s="168" t="str">
        <f>'IA Test only'!C176</f>
        <v/>
      </c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53">
        <f t="shared" si="1"/>
        <v>0</v>
      </c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52">
        <f t="shared" si="2"/>
        <v>0</v>
      </c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52">
        <f t="shared" si="3"/>
        <v>0</v>
      </c>
      <c r="AL175" s="45">
        <f t="shared" si="4"/>
        <v>0</v>
      </c>
      <c r="AM175" s="45">
        <f t="shared" si="5"/>
        <v>0</v>
      </c>
      <c r="AN175" s="45" t="str">
        <f t="shared" si="6"/>
        <v>#DIV/0!</v>
      </c>
      <c r="AP175" s="45">
        <f t="shared" si="7"/>
        <v>0</v>
      </c>
      <c r="AQ175" s="45">
        <f t="shared" si="8"/>
        <v>0</v>
      </c>
      <c r="AR175" s="45" t="str">
        <f t="shared" si="9"/>
        <v>#DIV/0!</v>
      </c>
      <c r="AT175" s="45">
        <f t="shared" si="10"/>
        <v>0</v>
      </c>
      <c r="AU175" s="45">
        <f t="shared" si="11"/>
        <v>0</v>
      </c>
      <c r="AV175" s="45" t="str">
        <f t="shared" si="12"/>
        <v>#DIV/0!</v>
      </c>
      <c r="AX175" s="45">
        <f t="shared" si="13"/>
        <v>0</v>
      </c>
      <c r="AY175" s="45">
        <f t="shared" si="14"/>
        <v>0</v>
      </c>
      <c r="AZ175" s="45" t="str">
        <f t="shared" si="15"/>
        <v>#DIV/0!</v>
      </c>
      <c r="BB175" s="45">
        <f t="shared" si="16"/>
        <v>0</v>
      </c>
      <c r="BC175" s="45">
        <f t="shared" si="17"/>
        <v>0</v>
      </c>
      <c r="BD175" s="45" t="str">
        <f t="shared" si="18"/>
        <v>#DIV/0!</v>
      </c>
    </row>
    <row r="176" ht="15.75" customHeight="1">
      <c r="A176" s="52">
        <v>166.0</v>
      </c>
      <c r="B176" s="167" t="str">
        <f>'IA Test only'!B177</f>
        <v/>
      </c>
      <c r="C176" s="168" t="str">
        <f>'IA Test only'!C177</f>
        <v/>
      </c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53">
        <f t="shared" si="1"/>
        <v>0</v>
      </c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52">
        <f t="shared" si="2"/>
        <v>0</v>
      </c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52">
        <f t="shared" si="3"/>
        <v>0</v>
      </c>
      <c r="AL176" s="45">
        <f t="shared" si="4"/>
        <v>0</v>
      </c>
      <c r="AM176" s="45">
        <f t="shared" si="5"/>
        <v>0</v>
      </c>
      <c r="AN176" s="45" t="str">
        <f t="shared" si="6"/>
        <v>#DIV/0!</v>
      </c>
      <c r="AP176" s="45">
        <f t="shared" si="7"/>
        <v>0</v>
      </c>
      <c r="AQ176" s="45">
        <f t="shared" si="8"/>
        <v>0</v>
      </c>
      <c r="AR176" s="45" t="str">
        <f t="shared" si="9"/>
        <v>#DIV/0!</v>
      </c>
      <c r="AT176" s="45">
        <f t="shared" si="10"/>
        <v>0</v>
      </c>
      <c r="AU176" s="45">
        <f t="shared" si="11"/>
        <v>0</v>
      </c>
      <c r="AV176" s="45" t="str">
        <f t="shared" si="12"/>
        <v>#DIV/0!</v>
      </c>
      <c r="AX176" s="45">
        <f t="shared" si="13"/>
        <v>0</v>
      </c>
      <c r="AY176" s="45">
        <f t="shared" si="14"/>
        <v>0</v>
      </c>
      <c r="AZ176" s="45" t="str">
        <f t="shared" si="15"/>
        <v>#DIV/0!</v>
      </c>
      <c r="BB176" s="45">
        <f t="shared" si="16"/>
        <v>0</v>
      </c>
      <c r="BC176" s="45">
        <f t="shared" si="17"/>
        <v>0</v>
      </c>
      <c r="BD176" s="45" t="str">
        <f t="shared" si="18"/>
        <v>#DIV/0!</v>
      </c>
    </row>
    <row r="177" ht="15.75" customHeight="1">
      <c r="A177" s="52">
        <v>167.0</v>
      </c>
      <c r="B177" s="167" t="str">
        <f>'IA Test only'!B178</f>
        <v/>
      </c>
      <c r="C177" s="168" t="str">
        <f>'IA Test only'!C178</f>
        <v/>
      </c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53">
        <f t="shared" si="1"/>
        <v>0</v>
      </c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52">
        <f t="shared" si="2"/>
        <v>0</v>
      </c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52">
        <f t="shared" si="3"/>
        <v>0</v>
      </c>
      <c r="AL177" s="45">
        <f t="shared" si="4"/>
        <v>0</v>
      </c>
      <c r="AM177" s="45">
        <f t="shared" si="5"/>
        <v>0</v>
      </c>
      <c r="AN177" s="45" t="str">
        <f t="shared" si="6"/>
        <v>#DIV/0!</v>
      </c>
      <c r="AP177" s="45">
        <f t="shared" si="7"/>
        <v>0</v>
      </c>
      <c r="AQ177" s="45">
        <f t="shared" si="8"/>
        <v>0</v>
      </c>
      <c r="AR177" s="45" t="str">
        <f t="shared" si="9"/>
        <v>#DIV/0!</v>
      </c>
      <c r="AT177" s="45">
        <f t="shared" si="10"/>
        <v>0</v>
      </c>
      <c r="AU177" s="45">
        <f t="shared" si="11"/>
        <v>0</v>
      </c>
      <c r="AV177" s="45" t="str">
        <f t="shared" si="12"/>
        <v>#DIV/0!</v>
      </c>
      <c r="AX177" s="45">
        <f t="shared" si="13"/>
        <v>0</v>
      </c>
      <c r="AY177" s="45">
        <f t="shared" si="14"/>
        <v>0</v>
      </c>
      <c r="AZ177" s="45" t="str">
        <f t="shared" si="15"/>
        <v>#DIV/0!</v>
      </c>
      <c r="BB177" s="45">
        <f t="shared" si="16"/>
        <v>0</v>
      </c>
      <c r="BC177" s="45">
        <f t="shared" si="17"/>
        <v>0</v>
      </c>
      <c r="BD177" s="45" t="str">
        <f t="shared" si="18"/>
        <v>#DIV/0!</v>
      </c>
    </row>
    <row r="178" ht="15.75" customHeight="1">
      <c r="A178" s="52">
        <v>168.0</v>
      </c>
      <c r="B178" s="167" t="str">
        <f>'IA Test only'!B179</f>
        <v/>
      </c>
      <c r="C178" s="168" t="str">
        <f>'IA Test only'!C179</f>
        <v/>
      </c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53">
        <f t="shared" si="1"/>
        <v>0</v>
      </c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52">
        <f t="shared" si="2"/>
        <v>0</v>
      </c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52">
        <f t="shared" si="3"/>
        <v>0</v>
      </c>
      <c r="AL178" s="45">
        <f t="shared" si="4"/>
        <v>0</v>
      </c>
      <c r="AM178" s="45">
        <f t="shared" si="5"/>
        <v>0</v>
      </c>
      <c r="AN178" s="45" t="str">
        <f t="shared" si="6"/>
        <v>#DIV/0!</v>
      </c>
      <c r="AP178" s="45">
        <f t="shared" si="7"/>
        <v>0</v>
      </c>
      <c r="AQ178" s="45">
        <f t="shared" si="8"/>
        <v>0</v>
      </c>
      <c r="AR178" s="45" t="str">
        <f t="shared" si="9"/>
        <v>#DIV/0!</v>
      </c>
      <c r="AT178" s="45">
        <f t="shared" si="10"/>
        <v>0</v>
      </c>
      <c r="AU178" s="45">
        <f t="shared" si="11"/>
        <v>0</v>
      </c>
      <c r="AV178" s="45" t="str">
        <f t="shared" si="12"/>
        <v>#DIV/0!</v>
      </c>
      <c r="AX178" s="45">
        <f t="shared" si="13"/>
        <v>0</v>
      </c>
      <c r="AY178" s="45">
        <f t="shared" si="14"/>
        <v>0</v>
      </c>
      <c r="AZ178" s="45" t="str">
        <f t="shared" si="15"/>
        <v>#DIV/0!</v>
      </c>
      <c r="BB178" s="45">
        <f t="shared" si="16"/>
        <v>0</v>
      </c>
      <c r="BC178" s="45">
        <f t="shared" si="17"/>
        <v>0</v>
      </c>
      <c r="BD178" s="45" t="str">
        <f t="shared" si="18"/>
        <v>#DIV/0!</v>
      </c>
    </row>
    <row r="179" ht="15.75" customHeight="1">
      <c r="A179" s="52">
        <v>169.0</v>
      </c>
      <c r="B179" s="167" t="str">
        <f>'IA Test only'!B180</f>
        <v/>
      </c>
      <c r="C179" s="168" t="str">
        <f>'IA Test only'!C180</f>
        <v/>
      </c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53">
        <f t="shared" si="1"/>
        <v>0</v>
      </c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52">
        <f t="shared" si="2"/>
        <v>0</v>
      </c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52">
        <f t="shared" si="3"/>
        <v>0</v>
      </c>
      <c r="AL179" s="45">
        <f t="shared" si="4"/>
        <v>0</v>
      </c>
      <c r="AM179" s="45">
        <f t="shared" si="5"/>
        <v>0</v>
      </c>
      <c r="AN179" s="45" t="str">
        <f t="shared" si="6"/>
        <v>#DIV/0!</v>
      </c>
      <c r="AP179" s="45">
        <f t="shared" si="7"/>
        <v>0</v>
      </c>
      <c r="AQ179" s="45">
        <f t="shared" si="8"/>
        <v>0</v>
      </c>
      <c r="AR179" s="45" t="str">
        <f t="shared" si="9"/>
        <v>#DIV/0!</v>
      </c>
      <c r="AT179" s="45">
        <f t="shared" si="10"/>
        <v>0</v>
      </c>
      <c r="AU179" s="45">
        <f t="shared" si="11"/>
        <v>0</v>
      </c>
      <c r="AV179" s="45" t="str">
        <f t="shared" si="12"/>
        <v>#DIV/0!</v>
      </c>
      <c r="AX179" s="45">
        <f t="shared" si="13"/>
        <v>0</v>
      </c>
      <c r="AY179" s="45">
        <f t="shared" si="14"/>
        <v>0</v>
      </c>
      <c r="AZ179" s="45" t="str">
        <f t="shared" si="15"/>
        <v>#DIV/0!</v>
      </c>
      <c r="BB179" s="45">
        <f t="shared" si="16"/>
        <v>0</v>
      </c>
      <c r="BC179" s="45">
        <f t="shared" si="17"/>
        <v>0</v>
      </c>
      <c r="BD179" s="45" t="str">
        <f t="shared" si="18"/>
        <v>#DIV/0!</v>
      </c>
    </row>
    <row r="180" ht="15.75" customHeight="1">
      <c r="A180" s="52">
        <v>170.0</v>
      </c>
      <c r="B180" s="167" t="str">
        <f>'IA Test only'!B181</f>
        <v/>
      </c>
      <c r="C180" s="168" t="str">
        <f>'IA Test only'!C181</f>
        <v/>
      </c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53">
        <f t="shared" si="1"/>
        <v>0</v>
      </c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52">
        <f t="shared" si="2"/>
        <v>0</v>
      </c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52">
        <f t="shared" si="3"/>
        <v>0</v>
      </c>
      <c r="AL180" s="45">
        <f t="shared" si="4"/>
        <v>0</v>
      </c>
      <c r="AM180" s="45">
        <f t="shared" si="5"/>
        <v>0</v>
      </c>
      <c r="AN180" s="45" t="str">
        <f t="shared" si="6"/>
        <v>#DIV/0!</v>
      </c>
      <c r="AP180" s="45">
        <f t="shared" si="7"/>
        <v>0</v>
      </c>
      <c r="AQ180" s="45">
        <f t="shared" si="8"/>
        <v>0</v>
      </c>
      <c r="AR180" s="45" t="str">
        <f t="shared" si="9"/>
        <v>#DIV/0!</v>
      </c>
      <c r="AT180" s="45">
        <f t="shared" si="10"/>
        <v>0</v>
      </c>
      <c r="AU180" s="45">
        <f t="shared" si="11"/>
        <v>0</v>
      </c>
      <c r="AV180" s="45" t="str">
        <f t="shared" si="12"/>
        <v>#DIV/0!</v>
      </c>
      <c r="AX180" s="45">
        <f t="shared" si="13"/>
        <v>0</v>
      </c>
      <c r="AY180" s="45">
        <f t="shared" si="14"/>
        <v>0</v>
      </c>
      <c r="AZ180" s="45" t="str">
        <f t="shared" si="15"/>
        <v>#DIV/0!</v>
      </c>
      <c r="BB180" s="45">
        <f t="shared" si="16"/>
        <v>0</v>
      </c>
      <c r="BC180" s="45">
        <f t="shared" si="17"/>
        <v>0</v>
      </c>
      <c r="BD180" s="45" t="str">
        <f t="shared" si="18"/>
        <v>#DIV/0!</v>
      </c>
    </row>
    <row r="181" ht="15.75" customHeight="1">
      <c r="A181" s="52">
        <v>171.0</v>
      </c>
      <c r="B181" s="167" t="str">
        <f>'IA Test only'!B182</f>
        <v/>
      </c>
      <c r="C181" s="168" t="str">
        <f>'IA Test only'!C182</f>
        <v/>
      </c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53">
        <f t="shared" si="1"/>
        <v>0</v>
      </c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52">
        <f t="shared" si="2"/>
        <v>0</v>
      </c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52">
        <f t="shared" si="3"/>
        <v>0</v>
      </c>
      <c r="AL181" s="45">
        <f t="shared" si="4"/>
        <v>0</v>
      </c>
      <c r="AM181" s="45">
        <f t="shared" si="5"/>
        <v>0</v>
      </c>
      <c r="AN181" s="45" t="str">
        <f t="shared" si="6"/>
        <v>#DIV/0!</v>
      </c>
      <c r="AP181" s="45">
        <f t="shared" si="7"/>
        <v>0</v>
      </c>
      <c r="AQ181" s="45">
        <f t="shared" si="8"/>
        <v>0</v>
      </c>
      <c r="AR181" s="45" t="str">
        <f t="shared" si="9"/>
        <v>#DIV/0!</v>
      </c>
      <c r="AT181" s="45">
        <f t="shared" si="10"/>
        <v>0</v>
      </c>
      <c r="AU181" s="45">
        <f t="shared" si="11"/>
        <v>0</v>
      </c>
      <c r="AV181" s="45" t="str">
        <f t="shared" si="12"/>
        <v>#DIV/0!</v>
      </c>
      <c r="AX181" s="45">
        <f t="shared" si="13"/>
        <v>0</v>
      </c>
      <c r="AY181" s="45">
        <f t="shared" si="14"/>
        <v>0</v>
      </c>
      <c r="AZ181" s="45" t="str">
        <f t="shared" si="15"/>
        <v>#DIV/0!</v>
      </c>
      <c r="BB181" s="45">
        <f t="shared" si="16"/>
        <v>0</v>
      </c>
      <c r="BC181" s="45">
        <f t="shared" si="17"/>
        <v>0</v>
      </c>
      <c r="BD181" s="45" t="str">
        <f t="shared" si="18"/>
        <v>#DIV/0!</v>
      </c>
    </row>
    <row r="182" ht="15.75" customHeight="1">
      <c r="A182" s="52">
        <v>172.0</v>
      </c>
      <c r="B182" s="167" t="str">
        <f>'IA Test only'!B183</f>
        <v/>
      </c>
      <c r="C182" s="168" t="str">
        <f>'IA Test only'!C183</f>
        <v/>
      </c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53">
        <f t="shared" si="1"/>
        <v>0</v>
      </c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52">
        <f t="shared" si="2"/>
        <v>0</v>
      </c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52">
        <f t="shared" si="3"/>
        <v>0</v>
      </c>
      <c r="AL182" s="45">
        <f t="shared" si="4"/>
        <v>0</v>
      </c>
      <c r="AM182" s="45">
        <f t="shared" si="5"/>
        <v>0</v>
      </c>
      <c r="AN182" s="45" t="str">
        <f t="shared" si="6"/>
        <v>#DIV/0!</v>
      </c>
      <c r="AP182" s="45">
        <f t="shared" si="7"/>
        <v>0</v>
      </c>
      <c r="AQ182" s="45">
        <f t="shared" si="8"/>
        <v>0</v>
      </c>
      <c r="AR182" s="45" t="str">
        <f t="shared" si="9"/>
        <v>#DIV/0!</v>
      </c>
      <c r="AT182" s="45">
        <f t="shared" si="10"/>
        <v>0</v>
      </c>
      <c r="AU182" s="45">
        <f t="shared" si="11"/>
        <v>0</v>
      </c>
      <c r="AV182" s="45" t="str">
        <f t="shared" si="12"/>
        <v>#DIV/0!</v>
      </c>
      <c r="AX182" s="45">
        <f t="shared" si="13"/>
        <v>0</v>
      </c>
      <c r="AY182" s="45">
        <f t="shared" si="14"/>
        <v>0</v>
      </c>
      <c r="AZ182" s="45" t="str">
        <f t="shared" si="15"/>
        <v>#DIV/0!</v>
      </c>
      <c r="BB182" s="45">
        <f t="shared" si="16"/>
        <v>0</v>
      </c>
      <c r="BC182" s="45">
        <f t="shared" si="17"/>
        <v>0</v>
      </c>
      <c r="BD182" s="45" t="str">
        <f t="shared" si="18"/>
        <v>#DIV/0!</v>
      </c>
    </row>
    <row r="183" ht="15.75" customHeight="1">
      <c r="A183" s="52">
        <v>173.0</v>
      </c>
      <c r="B183" s="167" t="str">
        <f>'IA Test only'!B184</f>
        <v/>
      </c>
      <c r="C183" s="168" t="str">
        <f>'IA Test only'!C184</f>
        <v/>
      </c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53">
        <f t="shared" si="1"/>
        <v>0</v>
      </c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52">
        <f t="shared" si="2"/>
        <v>0</v>
      </c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52">
        <f t="shared" si="3"/>
        <v>0</v>
      </c>
      <c r="AL183" s="45">
        <f t="shared" si="4"/>
        <v>0</v>
      </c>
      <c r="AM183" s="45">
        <f t="shared" si="5"/>
        <v>0</v>
      </c>
      <c r="AN183" s="45" t="str">
        <f t="shared" si="6"/>
        <v>#DIV/0!</v>
      </c>
      <c r="AP183" s="45">
        <f t="shared" si="7"/>
        <v>0</v>
      </c>
      <c r="AQ183" s="45">
        <f t="shared" si="8"/>
        <v>0</v>
      </c>
      <c r="AR183" s="45" t="str">
        <f t="shared" si="9"/>
        <v>#DIV/0!</v>
      </c>
      <c r="AT183" s="45">
        <f t="shared" si="10"/>
        <v>0</v>
      </c>
      <c r="AU183" s="45">
        <f t="shared" si="11"/>
        <v>0</v>
      </c>
      <c r="AV183" s="45" t="str">
        <f t="shared" si="12"/>
        <v>#DIV/0!</v>
      </c>
      <c r="AX183" s="45">
        <f t="shared" si="13"/>
        <v>0</v>
      </c>
      <c r="AY183" s="45">
        <f t="shared" si="14"/>
        <v>0</v>
      </c>
      <c r="AZ183" s="45" t="str">
        <f t="shared" si="15"/>
        <v>#DIV/0!</v>
      </c>
      <c r="BB183" s="45">
        <f t="shared" si="16"/>
        <v>0</v>
      </c>
      <c r="BC183" s="45">
        <f t="shared" si="17"/>
        <v>0</v>
      </c>
      <c r="BD183" s="45" t="str">
        <f t="shared" si="18"/>
        <v>#DIV/0!</v>
      </c>
    </row>
    <row r="184" ht="15.75" customHeight="1">
      <c r="A184" s="52">
        <v>174.0</v>
      </c>
      <c r="B184" s="167" t="str">
        <f>'IA Test only'!B185</f>
        <v/>
      </c>
      <c r="C184" s="168" t="str">
        <f>'IA Test only'!C185</f>
        <v/>
      </c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53">
        <f t="shared" si="1"/>
        <v>0</v>
      </c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52">
        <f t="shared" si="2"/>
        <v>0</v>
      </c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52">
        <f t="shared" si="3"/>
        <v>0</v>
      </c>
      <c r="AL184" s="45">
        <f t="shared" si="4"/>
        <v>0</v>
      </c>
      <c r="AM184" s="45">
        <f t="shared" si="5"/>
        <v>0</v>
      </c>
      <c r="AN184" s="45" t="str">
        <f t="shared" si="6"/>
        <v>#DIV/0!</v>
      </c>
      <c r="AP184" s="45">
        <f t="shared" si="7"/>
        <v>0</v>
      </c>
      <c r="AQ184" s="45">
        <f t="shared" si="8"/>
        <v>0</v>
      </c>
      <c r="AR184" s="45" t="str">
        <f t="shared" si="9"/>
        <v>#DIV/0!</v>
      </c>
      <c r="AT184" s="45">
        <f t="shared" si="10"/>
        <v>0</v>
      </c>
      <c r="AU184" s="45">
        <f t="shared" si="11"/>
        <v>0</v>
      </c>
      <c r="AV184" s="45" t="str">
        <f t="shared" si="12"/>
        <v>#DIV/0!</v>
      </c>
      <c r="AX184" s="45">
        <f t="shared" si="13"/>
        <v>0</v>
      </c>
      <c r="AY184" s="45">
        <f t="shared" si="14"/>
        <v>0</v>
      </c>
      <c r="AZ184" s="45" t="str">
        <f t="shared" si="15"/>
        <v>#DIV/0!</v>
      </c>
      <c r="BB184" s="45">
        <f t="shared" si="16"/>
        <v>0</v>
      </c>
      <c r="BC184" s="45">
        <f t="shared" si="17"/>
        <v>0</v>
      </c>
      <c r="BD184" s="45" t="str">
        <f t="shared" si="18"/>
        <v>#DIV/0!</v>
      </c>
    </row>
    <row r="185" ht="15.75" customHeight="1">
      <c r="A185" s="52">
        <v>175.0</v>
      </c>
      <c r="B185" s="167" t="str">
        <f>'IA Test only'!B186</f>
        <v/>
      </c>
      <c r="C185" s="168" t="str">
        <f>'IA Test only'!C186</f>
        <v/>
      </c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53">
        <f t="shared" si="1"/>
        <v>0</v>
      </c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52">
        <f t="shared" si="2"/>
        <v>0</v>
      </c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52">
        <f t="shared" si="3"/>
        <v>0</v>
      </c>
      <c r="AL185" s="45">
        <f t="shared" si="4"/>
        <v>0</v>
      </c>
      <c r="AM185" s="45">
        <f t="shared" si="5"/>
        <v>0</v>
      </c>
      <c r="AN185" s="45" t="str">
        <f t="shared" si="6"/>
        <v>#DIV/0!</v>
      </c>
      <c r="AP185" s="45">
        <f t="shared" si="7"/>
        <v>0</v>
      </c>
      <c r="AQ185" s="45">
        <f t="shared" si="8"/>
        <v>0</v>
      </c>
      <c r="AR185" s="45" t="str">
        <f t="shared" si="9"/>
        <v>#DIV/0!</v>
      </c>
      <c r="AT185" s="45">
        <f t="shared" si="10"/>
        <v>0</v>
      </c>
      <c r="AU185" s="45">
        <f t="shared" si="11"/>
        <v>0</v>
      </c>
      <c r="AV185" s="45" t="str">
        <f t="shared" si="12"/>
        <v>#DIV/0!</v>
      </c>
      <c r="AX185" s="45">
        <f t="shared" si="13"/>
        <v>0</v>
      </c>
      <c r="AY185" s="45">
        <f t="shared" si="14"/>
        <v>0</v>
      </c>
      <c r="AZ185" s="45" t="str">
        <f t="shared" si="15"/>
        <v>#DIV/0!</v>
      </c>
      <c r="BB185" s="45">
        <f t="shared" si="16"/>
        <v>0</v>
      </c>
      <c r="BC185" s="45">
        <f t="shared" si="17"/>
        <v>0</v>
      </c>
      <c r="BD185" s="45" t="str">
        <f t="shared" si="18"/>
        <v>#DIV/0!</v>
      </c>
    </row>
    <row r="186" ht="15.75" customHeight="1">
      <c r="A186" s="52">
        <v>176.0</v>
      </c>
      <c r="B186" s="167" t="str">
        <f>'IA Test only'!B187</f>
        <v/>
      </c>
      <c r="C186" s="168" t="str">
        <f>'IA Test only'!C187</f>
        <v/>
      </c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53">
        <f t="shared" si="1"/>
        <v>0</v>
      </c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52">
        <f t="shared" si="2"/>
        <v>0</v>
      </c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52">
        <f t="shared" si="3"/>
        <v>0</v>
      </c>
      <c r="AL186" s="45">
        <f t="shared" si="4"/>
        <v>0</v>
      </c>
      <c r="AM186" s="45">
        <f t="shared" si="5"/>
        <v>0</v>
      </c>
      <c r="AN186" s="45" t="str">
        <f t="shared" si="6"/>
        <v>#DIV/0!</v>
      </c>
      <c r="AP186" s="45">
        <f t="shared" si="7"/>
        <v>0</v>
      </c>
      <c r="AQ186" s="45">
        <f t="shared" si="8"/>
        <v>0</v>
      </c>
      <c r="AR186" s="45" t="str">
        <f t="shared" si="9"/>
        <v>#DIV/0!</v>
      </c>
      <c r="AT186" s="45">
        <f t="shared" si="10"/>
        <v>0</v>
      </c>
      <c r="AU186" s="45">
        <f t="shared" si="11"/>
        <v>0</v>
      </c>
      <c r="AV186" s="45" t="str">
        <f t="shared" si="12"/>
        <v>#DIV/0!</v>
      </c>
      <c r="AX186" s="45">
        <f t="shared" si="13"/>
        <v>0</v>
      </c>
      <c r="AY186" s="45">
        <f t="shared" si="14"/>
        <v>0</v>
      </c>
      <c r="AZ186" s="45" t="str">
        <f t="shared" si="15"/>
        <v>#DIV/0!</v>
      </c>
      <c r="BB186" s="45">
        <f t="shared" si="16"/>
        <v>0</v>
      </c>
      <c r="BC186" s="45">
        <f t="shared" si="17"/>
        <v>0</v>
      </c>
      <c r="BD186" s="45" t="str">
        <f t="shared" si="18"/>
        <v>#DIV/0!</v>
      </c>
    </row>
    <row r="187" ht="15.75" customHeight="1">
      <c r="A187" s="52">
        <v>177.0</v>
      </c>
      <c r="B187" s="167" t="str">
        <f>'IA Test only'!B188</f>
        <v/>
      </c>
      <c r="C187" s="168" t="str">
        <f>'IA Test only'!C188</f>
        <v/>
      </c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53">
        <f t="shared" si="1"/>
        <v>0</v>
      </c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52">
        <f t="shared" si="2"/>
        <v>0</v>
      </c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52">
        <f t="shared" si="3"/>
        <v>0</v>
      </c>
      <c r="AL187" s="45">
        <f t="shared" si="4"/>
        <v>0</v>
      </c>
      <c r="AM187" s="45">
        <f t="shared" si="5"/>
        <v>0</v>
      </c>
      <c r="AN187" s="45" t="str">
        <f t="shared" si="6"/>
        <v>#DIV/0!</v>
      </c>
      <c r="AP187" s="45">
        <f t="shared" si="7"/>
        <v>0</v>
      </c>
      <c r="AQ187" s="45">
        <f t="shared" si="8"/>
        <v>0</v>
      </c>
      <c r="AR187" s="45" t="str">
        <f t="shared" si="9"/>
        <v>#DIV/0!</v>
      </c>
      <c r="AT187" s="45">
        <f t="shared" si="10"/>
        <v>0</v>
      </c>
      <c r="AU187" s="45">
        <f t="shared" si="11"/>
        <v>0</v>
      </c>
      <c r="AV187" s="45" t="str">
        <f t="shared" si="12"/>
        <v>#DIV/0!</v>
      </c>
      <c r="AX187" s="45">
        <f t="shared" si="13"/>
        <v>0</v>
      </c>
      <c r="AY187" s="45">
        <f t="shared" si="14"/>
        <v>0</v>
      </c>
      <c r="AZ187" s="45" t="str">
        <f t="shared" si="15"/>
        <v>#DIV/0!</v>
      </c>
      <c r="BB187" s="45">
        <f t="shared" si="16"/>
        <v>0</v>
      </c>
      <c r="BC187" s="45">
        <f t="shared" si="17"/>
        <v>0</v>
      </c>
      <c r="BD187" s="45" t="str">
        <f t="shared" si="18"/>
        <v>#DIV/0!</v>
      </c>
    </row>
    <row r="188" ht="15.75" customHeight="1">
      <c r="A188" s="52">
        <v>178.0</v>
      </c>
      <c r="B188" s="167" t="str">
        <f>'IA Test only'!B189</f>
        <v/>
      </c>
      <c r="C188" s="168" t="str">
        <f>'IA Test only'!C189</f>
        <v/>
      </c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53">
        <f t="shared" si="1"/>
        <v>0</v>
      </c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52">
        <f t="shared" si="2"/>
        <v>0</v>
      </c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52">
        <f t="shared" si="3"/>
        <v>0</v>
      </c>
      <c r="AL188" s="45">
        <f t="shared" si="4"/>
        <v>0</v>
      </c>
      <c r="AM188" s="45">
        <f t="shared" si="5"/>
        <v>0</v>
      </c>
      <c r="AN188" s="45" t="str">
        <f t="shared" si="6"/>
        <v>#DIV/0!</v>
      </c>
      <c r="AP188" s="45">
        <f t="shared" si="7"/>
        <v>0</v>
      </c>
      <c r="AQ188" s="45">
        <f t="shared" si="8"/>
        <v>0</v>
      </c>
      <c r="AR188" s="45" t="str">
        <f t="shared" si="9"/>
        <v>#DIV/0!</v>
      </c>
      <c r="AT188" s="45">
        <f t="shared" si="10"/>
        <v>0</v>
      </c>
      <c r="AU188" s="45">
        <f t="shared" si="11"/>
        <v>0</v>
      </c>
      <c r="AV188" s="45" t="str">
        <f t="shared" si="12"/>
        <v>#DIV/0!</v>
      </c>
      <c r="AX188" s="45">
        <f t="shared" si="13"/>
        <v>0</v>
      </c>
      <c r="AY188" s="45">
        <f t="shared" si="14"/>
        <v>0</v>
      </c>
      <c r="AZ188" s="45" t="str">
        <f t="shared" si="15"/>
        <v>#DIV/0!</v>
      </c>
      <c r="BB188" s="45">
        <f t="shared" si="16"/>
        <v>0</v>
      </c>
      <c r="BC188" s="45">
        <f t="shared" si="17"/>
        <v>0</v>
      </c>
      <c r="BD188" s="45" t="str">
        <f t="shared" si="18"/>
        <v>#DIV/0!</v>
      </c>
    </row>
    <row r="189" ht="15.75" customHeight="1">
      <c r="A189" s="52">
        <v>179.0</v>
      </c>
      <c r="B189" s="167" t="str">
        <f>'IA Test only'!B190</f>
        <v/>
      </c>
      <c r="C189" s="168" t="str">
        <f>'IA Test only'!C190</f>
        <v/>
      </c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53">
        <f t="shared" si="1"/>
        <v>0</v>
      </c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52">
        <f t="shared" si="2"/>
        <v>0</v>
      </c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52">
        <f t="shared" si="3"/>
        <v>0</v>
      </c>
      <c r="AL189" s="45">
        <f t="shared" si="4"/>
        <v>0</v>
      </c>
      <c r="AM189" s="45">
        <f t="shared" si="5"/>
        <v>0</v>
      </c>
      <c r="AN189" s="45" t="str">
        <f t="shared" si="6"/>
        <v>#DIV/0!</v>
      </c>
      <c r="AP189" s="45">
        <f t="shared" si="7"/>
        <v>0</v>
      </c>
      <c r="AQ189" s="45">
        <f t="shared" si="8"/>
        <v>0</v>
      </c>
      <c r="AR189" s="45" t="str">
        <f t="shared" si="9"/>
        <v>#DIV/0!</v>
      </c>
      <c r="AT189" s="45">
        <f t="shared" si="10"/>
        <v>0</v>
      </c>
      <c r="AU189" s="45">
        <f t="shared" si="11"/>
        <v>0</v>
      </c>
      <c r="AV189" s="45" t="str">
        <f t="shared" si="12"/>
        <v>#DIV/0!</v>
      </c>
      <c r="AX189" s="45">
        <f t="shared" si="13"/>
        <v>0</v>
      </c>
      <c r="AY189" s="45">
        <f t="shared" si="14"/>
        <v>0</v>
      </c>
      <c r="AZ189" s="45" t="str">
        <f t="shared" si="15"/>
        <v>#DIV/0!</v>
      </c>
      <c r="BB189" s="45">
        <f t="shared" si="16"/>
        <v>0</v>
      </c>
      <c r="BC189" s="45">
        <f t="shared" si="17"/>
        <v>0</v>
      </c>
      <c r="BD189" s="45" t="str">
        <f t="shared" si="18"/>
        <v>#DIV/0!</v>
      </c>
    </row>
    <row r="190" ht="15.75" customHeight="1">
      <c r="A190" s="52">
        <v>180.0</v>
      </c>
      <c r="B190" s="167" t="str">
        <f>'IA Test only'!B191</f>
        <v/>
      </c>
      <c r="C190" s="168" t="str">
        <f>'IA Test only'!C191</f>
        <v/>
      </c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53">
        <f t="shared" si="1"/>
        <v>0</v>
      </c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52">
        <f t="shared" si="2"/>
        <v>0</v>
      </c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52">
        <f t="shared" si="3"/>
        <v>0</v>
      </c>
      <c r="AL190" s="45">
        <f t="shared" si="4"/>
        <v>0</v>
      </c>
      <c r="AM190" s="45">
        <f t="shared" si="5"/>
        <v>0</v>
      </c>
      <c r="AN190" s="45" t="str">
        <f t="shared" si="6"/>
        <v>#DIV/0!</v>
      </c>
      <c r="AP190" s="45">
        <f t="shared" si="7"/>
        <v>0</v>
      </c>
      <c r="AQ190" s="45">
        <f t="shared" si="8"/>
        <v>0</v>
      </c>
      <c r="AR190" s="45" t="str">
        <f t="shared" si="9"/>
        <v>#DIV/0!</v>
      </c>
      <c r="AT190" s="45">
        <f t="shared" si="10"/>
        <v>0</v>
      </c>
      <c r="AU190" s="45">
        <f t="shared" si="11"/>
        <v>0</v>
      </c>
      <c r="AV190" s="45" t="str">
        <f t="shared" si="12"/>
        <v>#DIV/0!</v>
      </c>
      <c r="AX190" s="45">
        <f t="shared" si="13"/>
        <v>0</v>
      </c>
      <c r="AY190" s="45">
        <f t="shared" si="14"/>
        <v>0</v>
      </c>
      <c r="AZ190" s="45" t="str">
        <f t="shared" si="15"/>
        <v>#DIV/0!</v>
      </c>
      <c r="BB190" s="45">
        <f t="shared" si="16"/>
        <v>0</v>
      </c>
      <c r="BC190" s="45">
        <f t="shared" si="17"/>
        <v>0</v>
      </c>
      <c r="BD190" s="45" t="str">
        <f t="shared" si="18"/>
        <v>#DIV/0!</v>
      </c>
    </row>
    <row r="191" ht="15.75" customHeight="1">
      <c r="A191" s="52">
        <v>181.0</v>
      </c>
      <c r="B191" s="167" t="str">
        <f>'IA Test only'!B192</f>
        <v/>
      </c>
      <c r="C191" s="168" t="str">
        <f>'IA Test only'!C192</f>
        <v/>
      </c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53">
        <f t="shared" si="1"/>
        <v>0</v>
      </c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52">
        <f t="shared" si="2"/>
        <v>0</v>
      </c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52">
        <f t="shared" si="3"/>
        <v>0</v>
      </c>
      <c r="AL191" s="45">
        <f t="shared" si="4"/>
        <v>0</v>
      </c>
      <c r="AM191" s="45">
        <f t="shared" si="5"/>
        <v>0</v>
      </c>
      <c r="AN191" s="45" t="str">
        <f t="shared" si="6"/>
        <v>#DIV/0!</v>
      </c>
      <c r="AP191" s="45">
        <f t="shared" si="7"/>
        <v>0</v>
      </c>
      <c r="AQ191" s="45">
        <f t="shared" si="8"/>
        <v>0</v>
      </c>
      <c r="AR191" s="45" t="str">
        <f t="shared" si="9"/>
        <v>#DIV/0!</v>
      </c>
      <c r="AT191" s="45">
        <f t="shared" si="10"/>
        <v>0</v>
      </c>
      <c r="AU191" s="45">
        <f t="shared" si="11"/>
        <v>0</v>
      </c>
      <c r="AV191" s="45" t="str">
        <f t="shared" si="12"/>
        <v>#DIV/0!</v>
      </c>
      <c r="AX191" s="45">
        <f t="shared" si="13"/>
        <v>0</v>
      </c>
      <c r="AY191" s="45">
        <f t="shared" si="14"/>
        <v>0</v>
      </c>
      <c r="AZ191" s="45" t="str">
        <f t="shared" si="15"/>
        <v>#DIV/0!</v>
      </c>
      <c r="BB191" s="45">
        <f t="shared" si="16"/>
        <v>0</v>
      </c>
      <c r="BC191" s="45">
        <f t="shared" si="17"/>
        <v>0</v>
      </c>
      <c r="BD191" s="45" t="str">
        <f t="shared" si="18"/>
        <v>#DIV/0!</v>
      </c>
    </row>
    <row r="192" ht="15.75" customHeight="1">
      <c r="A192" s="52">
        <v>182.0</v>
      </c>
      <c r="B192" s="167" t="str">
        <f>'IA Test only'!B193</f>
        <v/>
      </c>
      <c r="C192" s="168" t="str">
        <f>'IA Test only'!C193</f>
        <v/>
      </c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53">
        <f t="shared" si="1"/>
        <v>0</v>
      </c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52">
        <f t="shared" si="2"/>
        <v>0</v>
      </c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52">
        <f t="shared" si="3"/>
        <v>0</v>
      </c>
      <c r="AL192" s="45">
        <f t="shared" si="4"/>
        <v>0</v>
      </c>
      <c r="AM192" s="45">
        <f t="shared" si="5"/>
        <v>0</v>
      </c>
      <c r="AN192" s="45" t="str">
        <f t="shared" si="6"/>
        <v>#DIV/0!</v>
      </c>
      <c r="AP192" s="45">
        <f t="shared" si="7"/>
        <v>0</v>
      </c>
      <c r="AQ192" s="45">
        <f t="shared" si="8"/>
        <v>0</v>
      </c>
      <c r="AR192" s="45" t="str">
        <f t="shared" si="9"/>
        <v>#DIV/0!</v>
      </c>
      <c r="AT192" s="45">
        <f t="shared" si="10"/>
        <v>0</v>
      </c>
      <c r="AU192" s="45">
        <f t="shared" si="11"/>
        <v>0</v>
      </c>
      <c r="AV192" s="45" t="str">
        <f t="shared" si="12"/>
        <v>#DIV/0!</v>
      </c>
      <c r="AX192" s="45">
        <f t="shared" si="13"/>
        <v>0</v>
      </c>
      <c r="AY192" s="45">
        <f t="shared" si="14"/>
        <v>0</v>
      </c>
      <c r="AZ192" s="45" t="str">
        <f t="shared" si="15"/>
        <v>#DIV/0!</v>
      </c>
      <c r="BB192" s="45">
        <f t="shared" si="16"/>
        <v>0</v>
      </c>
      <c r="BC192" s="45">
        <f t="shared" si="17"/>
        <v>0</v>
      </c>
      <c r="BD192" s="45" t="str">
        <f t="shared" si="18"/>
        <v>#DIV/0!</v>
      </c>
    </row>
    <row r="193" ht="15.75" customHeight="1">
      <c r="A193" s="52">
        <v>183.0</v>
      </c>
      <c r="B193" s="167" t="str">
        <f>'IA Test only'!B194</f>
        <v/>
      </c>
      <c r="C193" s="168" t="str">
        <f>'IA Test only'!C194</f>
        <v/>
      </c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53">
        <f t="shared" si="1"/>
        <v>0</v>
      </c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52">
        <f t="shared" si="2"/>
        <v>0</v>
      </c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52">
        <f t="shared" si="3"/>
        <v>0</v>
      </c>
      <c r="AL193" s="45">
        <f t="shared" si="4"/>
        <v>0</v>
      </c>
      <c r="AM193" s="45">
        <f t="shared" si="5"/>
        <v>0</v>
      </c>
      <c r="AN193" s="45" t="str">
        <f t="shared" si="6"/>
        <v>#DIV/0!</v>
      </c>
      <c r="AP193" s="45">
        <f t="shared" si="7"/>
        <v>0</v>
      </c>
      <c r="AQ193" s="45">
        <f t="shared" si="8"/>
        <v>0</v>
      </c>
      <c r="AR193" s="45" t="str">
        <f t="shared" si="9"/>
        <v>#DIV/0!</v>
      </c>
      <c r="AT193" s="45">
        <f t="shared" si="10"/>
        <v>0</v>
      </c>
      <c r="AU193" s="45">
        <f t="shared" si="11"/>
        <v>0</v>
      </c>
      <c r="AV193" s="45" t="str">
        <f t="shared" si="12"/>
        <v>#DIV/0!</v>
      </c>
      <c r="AX193" s="45">
        <f t="shared" si="13"/>
        <v>0</v>
      </c>
      <c r="AY193" s="45">
        <f t="shared" si="14"/>
        <v>0</v>
      </c>
      <c r="AZ193" s="45" t="str">
        <f t="shared" si="15"/>
        <v>#DIV/0!</v>
      </c>
      <c r="BB193" s="45">
        <f t="shared" si="16"/>
        <v>0</v>
      </c>
      <c r="BC193" s="45">
        <f t="shared" si="17"/>
        <v>0</v>
      </c>
      <c r="BD193" s="45" t="str">
        <f t="shared" si="18"/>
        <v>#DIV/0!</v>
      </c>
    </row>
    <row r="194" ht="15.75" customHeight="1">
      <c r="A194" s="52">
        <v>184.0</v>
      </c>
      <c r="B194" s="167" t="str">
        <f>'IA Test only'!B195</f>
        <v/>
      </c>
      <c r="C194" s="168" t="str">
        <f>'IA Test only'!C195</f>
        <v/>
      </c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53">
        <f t="shared" si="1"/>
        <v>0</v>
      </c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52">
        <f t="shared" si="2"/>
        <v>0</v>
      </c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52">
        <f t="shared" si="3"/>
        <v>0</v>
      </c>
      <c r="AL194" s="45">
        <f t="shared" si="4"/>
        <v>0</v>
      </c>
      <c r="AM194" s="45">
        <f t="shared" si="5"/>
        <v>0</v>
      </c>
      <c r="AN194" s="45" t="str">
        <f t="shared" si="6"/>
        <v>#DIV/0!</v>
      </c>
      <c r="AP194" s="45">
        <f t="shared" si="7"/>
        <v>0</v>
      </c>
      <c r="AQ194" s="45">
        <f t="shared" si="8"/>
        <v>0</v>
      </c>
      <c r="AR194" s="45" t="str">
        <f t="shared" si="9"/>
        <v>#DIV/0!</v>
      </c>
      <c r="AT194" s="45">
        <f t="shared" si="10"/>
        <v>0</v>
      </c>
      <c r="AU194" s="45">
        <f t="shared" si="11"/>
        <v>0</v>
      </c>
      <c r="AV194" s="45" t="str">
        <f t="shared" si="12"/>
        <v>#DIV/0!</v>
      </c>
      <c r="AX194" s="45">
        <f t="shared" si="13"/>
        <v>0</v>
      </c>
      <c r="AY194" s="45">
        <f t="shared" si="14"/>
        <v>0</v>
      </c>
      <c r="AZ194" s="45" t="str">
        <f t="shared" si="15"/>
        <v>#DIV/0!</v>
      </c>
      <c r="BB194" s="45">
        <f t="shared" si="16"/>
        <v>0</v>
      </c>
      <c r="BC194" s="45">
        <f t="shared" si="17"/>
        <v>0</v>
      </c>
      <c r="BD194" s="45" t="str">
        <f t="shared" si="18"/>
        <v>#DIV/0!</v>
      </c>
    </row>
    <row r="195" ht="15.75" customHeight="1">
      <c r="A195" s="52">
        <v>185.0</v>
      </c>
      <c r="B195" s="167" t="str">
        <f>'IA Test only'!B196</f>
        <v/>
      </c>
      <c r="C195" s="168" t="str">
        <f>'IA Test only'!C196</f>
        <v/>
      </c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53">
        <f t="shared" si="1"/>
        <v>0</v>
      </c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52">
        <f t="shared" si="2"/>
        <v>0</v>
      </c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52">
        <f t="shared" si="3"/>
        <v>0</v>
      </c>
      <c r="AL195" s="45">
        <f t="shared" si="4"/>
        <v>0</v>
      </c>
      <c r="AM195" s="45">
        <f t="shared" si="5"/>
        <v>0</v>
      </c>
      <c r="AN195" s="45" t="str">
        <f t="shared" si="6"/>
        <v>#DIV/0!</v>
      </c>
      <c r="AP195" s="45">
        <f t="shared" si="7"/>
        <v>0</v>
      </c>
      <c r="AQ195" s="45">
        <f t="shared" si="8"/>
        <v>0</v>
      </c>
      <c r="AR195" s="45" t="str">
        <f t="shared" si="9"/>
        <v>#DIV/0!</v>
      </c>
      <c r="AT195" s="45">
        <f t="shared" si="10"/>
        <v>0</v>
      </c>
      <c r="AU195" s="45">
        <f t="shared" si="11"/>
        <v>0</v>
      </c>
      <c r="AV195" s="45" t="str">
        <f t="shared" si="12"/>
        <v>#DIV/0!</v>
      </c>
      <c r="AX195" s="45">
        <f t="shared" si="13"/>
        <v>0</v>
      </c>
      <c r="AY195" s="45">
        <f t="shared" si="14"/>
        <v>0</v>
      </c>
      <c r="AZ195" s="45" t="str">
        <f t="shared" si="15"/>
        <v>#DIV/0!</v>
      </c>
      <c r="BB195" s="45">
        <f t="shared" si="16"/>
        <v>0</v>
      </c>
      <c r="BC195" s="45">
        <f t="shared" si="17"/>
        <v>0</v>
      </c>
      <c r="BD195" s="45" t="str">
        <f t="shared" si="18"/>
        <v>#DIV/0!</v>
      </c>
    </row>
    <row r="196" ht="15.75" customHeight="1">
      <c r="A196" s="52">
        <v>186.0</v>
      </c>
      <c r="B196" s="167" t="str">
        <f>'IA Test only'!B197</f>
        <v/>
      </c>
      <c r="C196" s="168" t="str">
        <f>'IA Test only'!C197</f>
        <v/>
      </c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53">
        <f t="shared" si="1"/>
        <v>0</v>
      </c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52">
        <f t="shared" si="2"/>
        <v>0</v>
      </c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52">
        <f t="shared" si="3"/>
        <v>0</v>
      </c>
      <c r="AL196" s="45">
        <f t="shared" si="4"/>
        <v>0</v>
      </c>
      <c r="AM196" s="45">
        <f t="shared" si="5"/>
        <v>0</v>
      </c>
      <c r="AN196" s="45" t="str">
        <f t="shared" si="6"/>
        <v>#DIV/0!</v>
      </c>
      <c r="AP196" s="45">
        <f t="shared" si="7"/>
        <v>0</v>
      </c>
      <c r="AQ196" s="45">
        <f t="shared" si="8"/>
        <v>0</v>
      </c>
      <c r="AR196" s="45" t="str">
        <f t="shared" si="9"/>
        <v>#DIV/0!</v>
      </c>
      <c r="AT196" s="45">
        <f t="shared" si="10"/>
        <v>0</v>
      </c>
      <c r="AU196" s="45">
        <f t="shared" si="11"/>
        <v>0</v>
      </c>
      <c r="AV196" s="45" t="str">
        <f t="shared" si="12"/>
        <v>#DIV/0!</v>
      </c>
      <c r="AX196" s="45">
        <f t="shared" si="13"/>
        <v>0</v>
      </c>
      <c r="AY196" s="45">
        <f t="shared" si="14"/>
        <v>0</v>
      </c>
      <c r="AZ196" s="45" t="str">
        <f t="shared" si="15"/>
        <v>#DIV/0!</v>
      </c>
      <c r="BB196" s="45">
        <f t="shared" si="16"/>
        <v>0</v>
      </c>
      <c r="BC196" s="45">
        <f t="shared" si="17"/>
        <v>0</v>
      </c>
      <c r="BD196" s="45" t="str">
        <f t="shared" si="18"/>
        <v>#DIV/0!</v>
      </c>
    </row>
    <row r="197" ht="15.75" customHeight="1">
      <c r="A197" s="52">
        <v>187.0</v>
      </c>
      <c r="B197" s="167" t="str">
        <f>'IA Test only'!B198</f>
        <v/>
      </c>
      <c r="C197" s="168" t="str">
        <f>'IA Test only'!C198</f>
        <v/>
      </c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53">
        <f t="shared" si="1"/>
        <v>0</v>
      </c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52">
        <f t="shared" si="2"/>
        <v>0</v>
      </c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52">
        <f t="shared" si="3"/>
        <v>0</v>
      </c>
      <c r="AL197" s="45">
        <f t="shared" si="4"/>
        <v>0</v>
      </c>
      <c r="AM197" s="45">
        <f t="shared" si="5"/>
        <v>0</v>
      </c>
      <c r="AN197" s="45" t="str">
        <f t="shared" si="6"/>
        <v>#DIV/0!</v>
      </c>
      <c r="AP197" s="45">
        <f t="shared" si="7"/>
        <v>0</v>
      </c>
      <c r="AQ197" s="45">
        <f t="shared" si="8"/>
        <v>0</v>
      </c>
      <c r="AR197" s="45" t="str">
        <f t="shared" si="9"/>
        <v>#DIV/0!</v>
      </c>
      <c r="AT197" s="45">
        <f t="shared" si="10"/>
        <v>0</v>
      </c>
      <c r="AU197" s="45">
        <f t="shared" si="11"/>
        <v>0</v>
      </c>
      <c r="AV197" s="45" t="str">
        <f t="shared" si="12"/>
        <v>#DIV/0!</v>
      </c>
      <c r="AX197" s="45">
        <f t="shared" si="13"/>
        <v>0</v>
      </c>
      <c r="AY197" s="45">
        <f t="shared" si="14"/>
        <v>0</v>
      </c>
      <c r="AZ197" s="45" t="str">
        <f t="shared" si="15"/>
        <v>#DIV/0!</v>
      </c>
      <c r="BB197" s="45">
        <f t="shared" si="16"/>
        <v>0</v>
      </c>
      <c r="BC197" s="45">
        <f t="shared" si="17"/>
        <v>0</v>
      </c>
      <c r="BD197" s="45" t="str">
        <f t="shared" si="18"/>
        <v>#DIV/0!</v>
      </c>
    </row>
    <row r="198" ht="15.75" customHeight="1">
      <c r="A198" s="52">
        <v>188.0</v>
      </c>
      <c r="B198" s="167" t="str">
        <f>'IA Test only'!B199</f>
        <v/>
      </c>
      <c r="C198" s="168" t="str">
        <f>'IA Test only'!C199</f>
        <v/>
      </c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53">
        <f t="shared" si="1"/>
        <v>0</v>
      </c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52">
        <f t="shared" si="2"/>
        <v>0</v>
      </c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52">
        <f t="shared" si="3"/>
        <v>0</v>
      </c>
      <c r="AL198" s="45">
        <f t="shared" si="4"/>
        <v>0</v>
      </c>
      <c r="AM198" s="45">
        <f t="shared" si="5"/>
        <v>0</v>
      </c>
      <c r="AN198" s="45" t="str">
        <f t="shared" si="6"/>
        <v>#DIV/0!</v>
      </c>
      <c r="AP198" s="45">
        <f t="shared" si="7"/>
        <v>0</v>
      </c>
      <c r="AQ198" s="45">
        <f t="shared" si="8"/>
        <v>0</v>
      </c>
      <c r="AR198" s="45" t="str">
        <f t="shared" si="9"/>
        <v>#DIV/0!</v>
      </c>
      <c r="AT198" s="45">
        <f t="shared" si="10"/>
        <v>0</v>
      </c>
      <c r="AU198" s="45">
        <f t="shared" si="11"/>
        <v>0</v>
      </c>
      <c r="AV198" s="45" t="str">
        <f t="shared" si="12"/>
        <v>#DIV/0!</v>
      </c>
      <c r="AX198" s="45">
        <f t="shared" si="13"/>
        <v>0</v>
      </c>
      <c r="AY198" s="45">
        <f t="shared" si="14"/>
        <v>0</v>
      </c>
      <c r="AZ198" s="45" t="str">
        <f t="shared" si="15"/>
        <v>#DIV/0!</v>
      </c>
      <c r="BB198" s="45">
        <f t="shared" si="16"/>
        <v>0</v>
      </c>
      <c r="BC198" s="45">
        <f t="shared" si="17"/>
        <v>0</v>
      </c>
      <c r="BD198" s="45" t="str">
        <f t="shared" si="18"/>
        <v>#DIV/0!</v>
      </c>
    </row>
    <row r="199" ht="15.75" customHeight="1">
      <c r="A199" s="52">
        <v>189.0</v>
      </c>
      <c r="B199" s="167" t="str">
        <f>'IA Test only'!B200</f>
        <v/>
      </c>
      <c r="C199" s="168" t="str">
        <f>'IA Test only'!C200</f>
        <v/>
      </c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53">
        <f t="shared" si="1"/>
        <v>0</v>
      </c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52">
        <f t="shared" si="2"/>
        <v>0</v>
      </c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52">
        <f t="shared" si="3"/>
        <v>0</v>
      </c>
      <c r="AL199" s="45">
        <f t="shared" si="4"/>
        <v>0</v>
      </c>
      <c r="AM199" s="45">
        <f t="shared" si="5"/>
        <v>0</v>
      </c>
      <c r="AN199" s="45" t="str">
        <f t="shared" si="6"/>
        <v>#DIV/0!</v>
      </c>
      <c r="AP199" s="45">
        <f t="shared" si="7"/>
        <v>0</v>
      </c>
      <c r="AQ199" s="45">
        <f t="shared" si="8"/>
        <v>0</v>
      </c>
      <c r="AR199" s="45" t="str">
        <f t="shared" si="9"/>
        <v>#DIV/0!</v>
      </c>
      <c r="AT199" s="45">
        <f t="shared" si="10"/>
        <v>0</v>
      </c>
      <c r="AU199" s="45">
        <f t="shared" si="11"/>
        <v>0</v>
      </c>
      <c r="AV199" s="45" t="str">
        <f t="shared" si="12"/>
        <v>#DIV/0!</v>
      </c>
      <c r="AX199" s="45">
        <f t="shared" si="13"/>
        <v>0</v>
      </c>
      <c r="AY199" s="45">
        <f t="shared" si="14"/>
        <v>0</v>
      </c>
      <c r="AZ199" s="45" t="str">
        <f t="shared" si="15"/>
        <v>#DIV/0!</v>
      </c>
      <c r="BB199" s="45">
        <f t="shared" si="16"/>
        <v>0</v>
      </c>
      <c r="BC199" s="45">
        <f t="shared" si="17"/>
        <v>0</v>
      </c>
      <c r="BD199" s="45" t="str">
        <f t="shared" si="18"/>
        <v>#DIV/0!</v>
      </c>
    </row>
    <row r="200" ht="15.75" customHeight="1">
      <c r="A200" s="52">
        <v>190.0</v>
      </c>
      <c r="B200" s="167" t="str">
        <f>'IA Test only'!B201</f>
        <v/>
      </c>
      <c r="C200" s="168" t="str">
        <f>'IA Test only'!C201</f>
        <v/>
      </c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53">
        <f t="shared" si="1"/>
        <v>0</v>
      </c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52">
        <f t="shared" si="2"/>
        <v>0</v>
      </c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52">
        <f t="shared" si="3"/>
        <v>0</v>
      </c>
      <c r="AL200" s="45">
        <f t="shared" si="4"/>
        <v>0</v>
      </c>
      <c r="AM200" s="45">
        <f t="shared" si="5"/>
        <v>0</v>
      </c>
      <c r="AN200" s="45" t="str">
        <f t="shared" si="6"/>
        <v>#DIV/0!</v>
      </c>
      <c r="AP200" s="45">
        <f t="shared" si="7"/>
        <v>0</v>
      </c>
      <c r="AQ200" s="45">
        <f t="shared" si="8"/>
        <v>0</v>
      </c>
      <c r="AR200" s="45" t="str">
        <f t="shared" si="9"/>
        <v>#DIV/0!</v>
      </c>
      <c r="AT200" s="45">
        <f t="shared" si="10"/>
        <v>0</v>
      </c>
      <c r="AU200" s="45">
        <f t="shared" si="11"/>
        <v>0</v>
      </c>
      <c r="AV200" s="45" t="str">
        <f t="shared" si="12"/>
        <v>#DIV/0!</v>
      </c>
      <c r="AX200" s="45">
        <f t="shared" si="13"/>
        <v>0</v>
      </c>
      <c r="AY200" s="45">
        <f t="shared" si="14"/>
        <v>0</v>
      </c>
      <c r="AZ200" s="45" t="str">
        <f t="shared" si="15"/>
        <v>#DIV/0!</v>
      </c>
      <c r="BB200" s="45">
        <f t="shared" si="16"/>
        <v>0</v>
      </c>
      <c r="BC200" s="45">
        <f t="shared" si="17"/>
        <v>0</v>
      </c>
      <c r="BD200" s="45" t="str">
        <f t="shared" si="18"/>
        <v>#DIV/0!</v>
      </c>
    </row>
    <row r="201" ht="15.75" customHeight="1">
      <c r="A201" s="52">
        <v>191.0</v>
      </c>
      <c r="B201" s="167" t="str">
        <f>'IA Test only'!B202</f>
        <v/>
      </c>
      <c r="C201" s="168" t="str">
        <f>'IA Test only'!C202</f>
        <v/>
      </c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53">
        <f t="shared" si="1"/>
        <v>0</v>
      </c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52">
        <f t="shared" si="2"/>
        <v>0</v>
      </c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52">
        <f t="shared" si="3"/>
        <v>0</v>
      </c>
      <c r="AL201" s="45">
        <f t="shared" si="4"/>
        <v>0</v>
      </c>
      <c r="AM201" s="45">
        <f t="shared" si="5"/>
        <v>0</v>
      </c>
      <c r="AN201" s="45" t="str">
        <f t="shared" si="6"/>
        <v>#DIV/0!</v>
      </c>
      <c r="AP201" s="45">
        <f t="shared" si="7"/>
        <v>0</v>
      </c>
      <c r="AQ201" s="45">
        <f t="shared" si="8"/>
        <v>0</v>
      </c>
      <c r="AR201" s="45" t="str">
        <f t="shared" si="9"/>
        <v>#DIV/0!</v>
      </c>
      <c r="AT201" s="45">
        <f t="shared" si="10"/>
        <v>0</v>
      </c>
      <c r="AU201" s="45">
        <f t="shared" si="11"/>
        <v>0</v>
      </c>
      <c r="AV201" s="45" t="str">
        <f t="shared" si="12"/>
        <v>#DIV/0!</v>
      </c>
      <c r="AX201" s="45">
        <f t="shared" si="13"/>
        <v>0</v>
      </c>
      <c r="AY201" s="45">
        <f t="shared" si="14"/>
        <v>0</v>
      </c>
      <c r="AZ201" s="45" t="str">
        <f t="shared" si="15"/>
        <v>#DIV/0!</v>
      </c>
      <c r="BB201" s="45">
        <f t="shared" si="16"/>
        <v>0</v>
      </c>
      <c r="BC201" s="45">
        <f t="shared" si="17"/>
        <v>0</v>
      </c>
      <c r="BD201" s="45" t="str">
        <f t="shared" si="18"/>
        <v>#DIV/0!</v>
      </c>
    </row>
    <row r="202" ht="15.75" customHeight="1">
      <c r="A202" s="52">
        <v>192.0</v>
      </c>
      <c r="B202" s="167" t="str">
        <f>'IA Test only'!B203</f>
        <v/>
      </c>
      <c r="C202" s="168" t="str">
        <f>'IA Test only'!C203</f>
        <v/>
      </c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53">
        <f t="shared" si="1"/>
        <v>0</v>
      </c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52">
        <f t="shared" si="2"/>
        <v>0</v>
      </c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52">
        <f t="shared" si="3"/>
        <v>0</v>
      </c>
      <c r="AL202" s="45">
        <f t="shared" si="4"/>
        <v>0</v>
      </c>
      <c r="AM202" s="45">
        <f t="shared" si="5"/>
        <v>0</v>
      </c>
      <c r="AN202" s="45" t="str">
        <f t="shared" si="6"/>
        <v>#DIV/0!</v>
      </c>
      <c r="AP202" s="45">
        <f t="shared" si="7"/>
        <v>0</v>
      </c>
      <c r="AQ202" s="45">
        <f t="shared" si="8"/>
        <v>0</v>
      </c>
      <c r="AR202" s="45" t="str">
        <f t="shared" si="9"/>
        <v>#DIV/0!</v>
      </c>
      <c r="AT202" s="45">
        <f t="shared" si="10"/>
        <v>0</v>
      </c>
      <c r="AU202" s="45">
        <f t="shared" si="11"/>
        <v>0</v>
      </c>
      <c r="AV202" s="45" t="str">
        <f t="shared" si="12"/>
        <v>#DIV/0!</v>
      </c>
      <c r="AX202" s="45">
        <f t="shared" si="13"/>
        <v>0</v>
      </c>
      <c r="AY202" s="45">
        <f t="shared" si="14"/>
        <v>0</v>
      </c>
      <c r="AZ202" s="45" t="str">
        <f t="shared" si="15"/>
        <v>#DIV/0!</v>
      </c>
      <c r="BB202" s="45">
        <f t="shared" si="16"/>
        <v>0</v>
      </c>
      <c r="BC202" s="45">
        <f t="shared" si="17"/>
        <v>0</v>
      </c>
      <c r="BD202" s="45" t="str">
        <f t="shared" si="18"/>
        <v>#DIV/0!</v>
      </c>
    </row>
    <row r="203" ht="15.75" customHeight="1">
      <c r="A203" s="52">
        <v>193.0</v>
      </c>
      <c r="B203" s="167" t="str">
        <f>'IA Test only'!B204</f>
        <v/>
      </c>
      <c r="C203" s="168" t="str">
        <f>'IA Test only'!C204</f>
        <v/>
      </c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53">
        <f t="shared" si="1"/>
        <v>0</v>
      </c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52">
        <f t="shared" si="2"/>
        <v>0</v>
      </c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52">
        <f t="shared" si="3"/>
        <v>0</v>
      </c>
      <c r="AL203" s="45">
        <f t="shared" si="4"/>
        <v>0</v>
      </c>
      <c r="AM203" s="45">
        <f t="shared" si="5"/>
        <v>0</v>
      </c>
      <c r="AN203" s="45" t="str">
        <f t="shared" si="6"/>
        <v>#DIV/0!</v>
      </c>
      <c r="AP203" s="45">
        <f t="shared" si="7"/>
        <v>0</v>
      </c>
      <c r="AQ203" s="45">
        <f t="shared" si="8"/>
        <v>0</v>
      </c>
      <c r="AR203" s="45" t="str">
        <f t="shared" si="9"/>
        <v>#DIV/0!</v>
      </c>
      <c r="AT203" s="45">
        <f t="shared" si="10"/>
        <v>0</v>
      </c>
      <c r="AU203" s="45">
        <f t="shared" si="11"/>
        <v>0</v>
      </c>
      <c r="AV203" s="45" t="str">
        <f t="shared" si="12"/>
        <v>#DIV/0!</v>
      </c>
      <c r="AX203" s="45">
        <f t="shared" si="13"/>
        <v>0</v>
      </c>
      <c r="AY203" s="45">
        <f t="shared" si="14"/>
        <v>0</v>
      </c>
      <c r="AZ203" s="45" t="str">
        <f t="shared" si="15"/>
        <v>#DIV/0!</v>
      </c>
      <c r="BB203" s="45">
        <f t="shared" si="16"/>
        <v>0</v>
      </c>
      <c r="BC203" s="45">
        <f t="shared" si="17"/>
        <v>0</v>
      </c>
      <c r="BD203" s="45" t="str">
        <f t="shared" si="18"/>
        <v>#DIV/0!</v>
      </c>
    </row>
    <row r="204" ht="15.75" customHeight="1">
      <c r="A204" s="52">
        <v>194.0</v>
      </c>
      <c r="B204" s="167" t="str">
        <f>'IA Test only'!B205</f>
        <v/>
      </c>
      <c r="C204" s="168" t="str">
        <f>'IA Test only'!C205</f>
        <v/>
      </c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53">
        <f t="shared" si="1"/>
        <v>0</v>
      </c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52">
        <f t="shared" si="2"/>
        <v>0</v>
      </c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52">
        <f t="shared" si="3"/>
        <v>0</v>
      </c>
      <c r="AL204" s="45">
        <f t="shared" si="4"/>
        <v>0</v>
      </c>
      <c r="AM204" s="45">
        <f t="shared" si="5"/>
        <v>0</v>
      </c>
      <c r="AN204" s="45" t="str">
        <f t="shared" si="6"/>
        <v>#DIV/0!</v>
      </c>
      <c r="AP204" s="45">
        <f t="shared" si="7"/>
        <v>0</v>
      </c>
      <c r="AQ204" s="45">
        <f t="shared" si="8"/>
        <v>0</v>
      </c>
      <c r="AR204" s="45" t="str">
        <f t="shared" si="9"/>
        <v>#DIV/0!</v>
      </c>
      <c r="AT204" s="45">
        <f t="shared" si="10"/>
        <v>0</v>
      </c>
      <c r="AU204" s="45">
        <f t="shared" si="11"/>
        <v>0</v>
      </c>
      <c r="AV204" s="45" t="str">
        <f t="shared" si="12"/>
        <v>#DIV/0!</v>
      </c>
      <c r="AX204" s="45">
        <f t="shared" si="13"/>
        <v>0</v>
      </c>
      <c r="AY204" s="45">
        <f t="shared" si="14"/>
        <v>0</v>
      </c>
      <c r="AZ204" s="45" t="str">
        <f t="shared" si="15"/>
        <v>#DIV/0!</v>
      </c>
      <c r="BB204" s="45">
        <f t="shared" si="16"/>
        <v>0</v>
      </c>
      <c r="BC204" s="45">
        <f t="shared" si="17"/>
        <v>0</v>
      </c>
      <c r="BD204" s="45" t="str">
        <f t="shared" si="18"/>
        <v>#DIV/0!</v>
      </c>
    </row>
    <row r="205" ht="15.75" customHeight="1">
      <c r="A205" s="52">
        <v>195.0</v>
      </c>
      <c r="B205" s="167" t="str">
        <f>'IA Test only'!B206</f>
        <v/>
      </c>
      <c r="C205" s="168" t="str">
        <f>'IA Test only'!C206</f>
        <v/>
      </c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53">
        <f t="shared" si="1"/>
        <v>0</v>
      </c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52">
        <f t="shared" si="2"/>
        <v>0</v>
      </c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52">
        <f t="shared" si="3"/>
        <v>0</v>
      </c>
      <c r="AL205" s="45">
        <f t="shared" si="4"/>
        <v>0</v>
      </c>
      <c r="AM205" s="45">
        <f t="shared" si="5"/>
        <v>0</v>
      </c>
      <c r="AN205" s="45" t="str">
        <f t="shared" si="6"/>
        <v>#DIV/0!</v>
      </c>
      <c r="AP205" s="45">
        <f t="shared" si="7"/>
        <v>0</v>
      </c>
      <c r="AQ205" s="45">
        <f t="shared" si="8"/>
        <v>0</v>
      </c>
      <c r="AR205" s="45" t="str">
        <f t="shared" si="9"/>
        <v>#DIV/0!</v>
      </c>
      <c r="AT205" s="45">
        <f t="shared" si="10"/>
        <v>0</v>
      </c>
      <c r="AU205" s="45">
        <f t="shared" si="11"/>
        <v>0</v>
      </c>
      <c r="AV205" s="45" t="str">
        <f t="shared" si="12"/>
        <v>#DIV/0!</v>
      </c>
      <c r="AX205" s="45">
        <f t="shared" si="13"/>
        <v>0</v>
      </c>
      <c r="AY205" s="45">
        <f t="shared" si="14"/>
        <v>0</v>
      </c>
      <c r="AZ205" s="45" t="str">
        <f t="shared" si="15"/>
        <v>#DIV/0!</v>
      </c>
      <c r="BB205" s="45">
        <f t="shared" si="16"/>
        <v>0</v>
      </c>
      <c r="BC205" s="45">
        <f t="shared" si="17"/>
        <v>0</v>
      </c>
      <c r="BD205" s="45" t="str">
        <f t="shared" si="18"/>
        <v>#DIV/0!</v>
      </c>
    </row>
    <row r="206" ht="15.75" customHeight="1">
      <c r="A206" s="52">
        <v>196.0</v>
      </c>
      <c r="B206" s="167" t="str">
        <f>'IA Test only'!B207</f>
        <v/>
      </c>
      <c r="C206" s="168" t="str">
        <f>'IA Test only'!C207</f>
        <v/>
      </c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53">
        <f t="shared" si="1"/>
        <v>0</v>
      </c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52">
        <f t="shared" si="2"/>
        <v>0</v>
      </c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52">
        <f t="shared" si="3"/>
        <v>0</v>
      </c>
      <c r="AL206" s="45">
        <f t="shared" si="4"/>
        <v>0</v>
      </c>
      <c r="AM206" s="45">
        <f t="shared" si="5"/>
        <v>0</v>
      </c>
      <c r="AN206" s="45" t="str">
        <f t="shared" si="6"/>
        <v>#DIV/0!</v>
      </c>
      <c r="AP206" s="45">
        <f t="shared" si="7"/>
        <v>0</v>
      </c>
      <c r="AQ206" s="45">
        <f t="shared" si="8"/>
        <v>0</v>
      </c>
      <c r="AR206" s="45" t="str">
        <f t="shared" si="9"/>
        <v>#DIV/0!</v>
      </c>
      <c r="AT206" s="45">
        <f t="shared" si="10"/>
        <v>0</v>
      </c>
      <c r="AU206" s="45">
        <f t="shared" si="11"/>
        <v>0</v>
      </c>
      <c r="AV206" s="45" t="str">
        <f t="shared" si="12"/>
        <v>#DIV/0!</v>
      </c>
      <c r="AX206" s="45">
        <f t="shared" si="13"/>
        <v>0</v>
      </c>
      <c r="AY206" s="45">
        <f t="shared" si="14"/>
        <v>0</v>
      </c>
      <c r="AZ206" s="45" t="str">
        <f t="shared" si="15"/>
        <v>#DIV/0!</v>
      </c>
      <c r="BB206" s="45">
        <f t="shared" si="16"/>
        <v>0</v>
      </c>
      <c r="BC206" s="45">
        <f t="shared" si="17"/>
        <v>0</v>
      </c>
      <c r="BD206" s="45" t="str">
        <f t="shared" si="18"/>
        <v>#DIV/0!</v>
      </c>
    </row>
    <row r="207" ht="15.75" customHeight="1">
      <c r="A207" s="52">
        <v>197.0</v>
      </c>
      <c r="B207" s="167" t="str">
        <f>'IA Test only'!B208</f>
        <v/>
      </c>
      <c r="C207" s="168" t="str">
        <f>'IA Test only'!C208</f>
        <v/>
      </c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53">
        <f t="shared" si="1"/>
        <v>0</v>
      </c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52">
        <f t="shared" si="2"/>
        <v>0</v>
      </c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52">
        <f t="shared" si="3"/>
        <v>0</v>
      </c>
      <c r="AL207" s="45">
        <f t="shared" si="4"/>
        <v>0</v>
      </c>
      <c r="AM207" s="45">
        <f t="shared" si="5"/>
        <v>0</v>
      </c>
      <c r="AN207" s="45" t="str">
        <f t="shared" si="6"/>
        <v>#DIV/0!</v>
      </c>
      <c r="AP207" s="45">
        <f t="shared" si="7"/>
        <v>0</v>
      </c>
      <c r="AQ207" s="45">
        <f t="shared" si="8"/>
        <v>0</v>
      </c>
      <c r="AR207" s="45" t="str">
        <f t="shared" si="9"/>
        <v>#DIV/0!</v>
      </c>
      <c r="AT207" s="45">
        <f t="shared" si="10"/>
        <v>0</v>
      </c>
      <c r="AU207" s="45">
        <f t="shared" si="11"/>
        <v>0</v>
      </c>
      <c r="AV207" s="45" t="str">
        <f t="shared" si="12"/>
        <v>#DIV/0!</v>
      </c>
      <c r="AX207" s="45">
        <f t="shared" si="13"/>
        <v>0</v>
      </c>
      <c r="AY207" s="45">
        <f t="shared" si="14"/>
        <v>0</v>
      </c>
      <c r="AZ207" s="45" t="str">
        <f t="shared" si="15"/>
        <v>#DIV/0!</v>
      </c>
      <c r="BB207" s="45">
        <f t="shared" si="16"/>
        <v>0</v>
      </c>
      <c r="BC207" s="45">
        <f t="shared" si="17"/>
        <v>0</v>
      </c>
      <c r="BD207" s="45" t="str">
        <f t="shared" si="18"/>
        <v>#DIV/0!</v>
      </c>
    </row>
    <row r="208" ht="15.75" customHeight="1">
      <c r="A208" s="52">
        <v>198.0</v>
      </c>
      <c r="B208" s="167" t="str">
        <f>'IA Test only'!B209</f>
        <v/>
      </c>
      <c r="C208" s="168" t="str">
        <f>'IA Test only'!C209</f>
        <v/>
      </c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53">
        <f t="shared" si="1"/>
        <v>0</v>
      </c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52">
        <f t="shared" si="2"/>
        <v>0</v>
      </c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52">
        <f t="shared" si="3"/>
        <v>0</v>
      </c>
      <c r="AL208" s="45">
        <f t="shared" si="4"/>
        <v>0</v>
      </c>
      <c r="AM208" s="45">
        <f t="shared" si="5"/>
        <v>0</v>
      </c>
      <c r="AN208" s="45" t="str">
        <f t="shared" si="6"/>
        <v>#DIV/0!</v>
      </c>
      <c r="AP208" s="45">
        <f t="shared" si="7"/>
        <v>0</v>
      </c>
      <c r="AQ208" s="45">
        <f t="shared" si="8"/>
        <v>0</v>
      </c>
      <c r="AR208" s="45" t="str">
        <f t="shared" si="9"/>
        <v>#DIV/0!</v>
      </c>
      <c r="AT208" s="45">
        <f t="shared" si="10"/>
        <v>0</v>
      </c>
      <c r="AU208" s="45">
        <f t="shared" si="11"/>
        <v>0</v>
      </c>
      <c r="AV208" s="45" t="str">
        <f t="shared" si="12"/>
        <v>#DIV/0!</v>
      </c>
      <c r="AX208" s="45">
        <f t="shared" si="13"/>
        <v>0</v>
      </c>
      <c r="AY208" s="45">
        <f t="shared" si="14"/>
        <v>0</v>
      </c>
      <c r="AZ208" s="45" t="str">
        <f t="shared" si="15"/>
        <v>#DIV/0!</v>
      </c>
      <c r="BB208" s="45">
        <f t="shared" si="16"/>
        <v>0</v>
      </c>
      <c r="BC208" s="45">
        <f t="shared" si="17"/>
        <v>0</v>
      </c>
      <c r="BD208" s="45" t="str">
        <f t="shared" si="18"/>
        <v>#DIV/0!</v>
      </c>
    </row>
    <row r="209" ht="15.75" customHeight="1">
      <c r="A209" s="52">
        <v>199.0</v>
      </c>
      <c r="B209" s="167" t="str">
        <f>'IA Test only'!B210</f>
        <v/>
      </c>
      <c r="C209" s="168" t="str">
        <f>'IA Test only'!C210</f>
        <v/>
      </c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53">
        <f t="shared" si="1"/>
        <v>0</v>
      </c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52">
        <f t="shared" si="2"/>
        <v>0</v>
      </c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52">
        <f t="shared" si="3"/>
        <v>0</v>
      </c>
      <c r="AL209" s="45">
        <f t="shared" si="4"/>
        <v>0</v>
      </c>
      <c r="AM209" s="45">
        <f t="shared" si="5"/>
        <v>0</v>
      </c>
      <c r="AN209" s="45" t="str">
        <f t="shared" si="6"/>
        <v>#DIV/0!</v>
      </c>
      <c r="AP209" s="45">
        <f t="shared" si="7"/>
        <v>0</v>
      </c>
      <c r="AQ209" s="45">
        <f t="shared" si="8"/>
        <v>0</v>
      </c>
      <c r="AR209" s="45" t="str">
        <f t="shared" si="9"/>
        <v>#DIV/0!</v>
      </c>
      <c r="AT209" s="45">
        <f t="shared" si="10"/>
        <v>0</v>
      </c>
      <c r="AU209" s="45">
        <f t="shared" si="11"/>
        <v>0</v>
      </c>
      <c r="AV209" s="45" t="str">
        <f t="shared" si="12"/>
        <v>#DIV/0!</v>
      </c>
      <c r="AX209" s="45">
        <f t="shared" si="13"/>
        <v>0</v>
      </c>
      <c r="AY209" s="45">
        <f t="shared" si="14"/>
        <v>0</v>
      </c>
      <c r="AZ209" s="45" t="str">
        <f t="shared" si="15"/>
        <v>#DIV/0!</v>
      </c>
      <c r="BB209" s="45">
        <f t="shared" si="16"/>
        <v>0</v>
      </c>
      <c r="BC209" s="45">
        <f t="shared" si="17"/>
        <v>0</v>
      </c>
      <c r="BD209" s="45" t="str">
        <f t="shared" si="18"/>
        <v>#DIV/0!</v>
      </c>
    </row>
    <row r="210" ht="15.75" customHeight="1">
      <c r="A210" s="52">
        <v>200.0</v>
      </c>
      <c r="B210" s="167" t="str">
        <f>'IA Test only'!B211</f>
        <v/>
      </c>
      <c r="C210" s="168" t="str">
        <f>'IA Test only'!C211</f>
        <v/>
      </c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53">
        <f t="shared" si="1"/>
        <v>0</v>
      </c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52">
        <f t="shared" si="2"/>
        <v>0</v>
      </c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52">
        <f t="shared" si="3"/>
        <v>0</v>
      </c>
      <c r="AL210" s="45">
        <f t="shared" si="4"/>
        <v>0</v>
      </c>
      <c r="AM210" s="45">
        <f t="shared" si="5"/>
        <v>0</v>
      </c>
      <c r="AN210" s="45" t="str">
        <f t="shared" si="6"/>
        <v>#DIV/0!</v>
      </c>
      <c r="AP210" s="45">
        <f t="shared" si="7"/>
        <v>0</v>
      </c>
      <c r="AQ210" s="45">
        <f t="shared" si="8"/>
        <v>0</v>
      </c>
      <c r="AR210" s="45" t="str">
        <f t="shared" si="9"/>
        <v>#DIV/0!</v>
      </c>
      <c r="AT210" s="45">
        <f t="shared" si="10"/>
        <v>0</v>
      </c>
      <c r="AU210" s="45">
        <f t="shared" si="11"/>
        <v>0</v>
      </c>
      <c r="AV210" s="45" t="str">
        <f t="shared" si="12"/>
        <v>#DIV/0!</v>
      </c>
      <c r="AX210" s="45">
        <f t="shared" si="13"/>
        <v>0</v>
      </c>
      <c r="AY210" s="45">
        <f t="shared" si="14"/>
        <v>0</v>
      </c>
      <c r="AZ210" s="45" t="str">
        <f t="shared" si="15"/>
        <v>#DIV/0!</v>
      </c>
      <c r="BB210" s="45">
        <f t="shared" si="16"/>
        <v>0</v>
      </c>
      <c r="BC210" s="45">
        <f t="shared" si="17"/>
        <v>0</v>
      </c>
      <c r="BD210" s="45" t="str">
        <f t="shared" si="18"/>
        <v>#DIV/0!</v>
      </c>
    </row>
    <row r="211" ht="15.75" customHeight="1">
      <c r="A211" s="52">
        <v>201.0</v>
      </c>
      <c r="B211" s="167" t="str">
        <f>'IA Test only'!B212</f>
        <v/>
      </c>
      <c r="C211" s="168" t="str">
        <f>'IA Test only'!C212</f>
        <v/>
      </c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53">
        <f t="shared" si="1"/>
        <v>0</v>
      </c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52">
        <f t="shared" si="2"/>
        <v>0</v>
      </c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52">
        <f t="shared" si="3"/>
        <v>0</v>
      </c>
      <c r="AL211" s="45">
        <f t="shared" si="4"/>
        <v>0</v>
      </c>
      <c r="AM211" s="45">
        <f t="shared" si="5"/>
        <v>0</v>
      </c>
      <c r="AN211" s="45" t="str">
        <f t="shared" si="6"/>
        <v>#DIV/0!</v>
      </c>
      <c r="AP211" s="45">
        <f t="shared" si="7"/>
        <v>0</v>
      </c>
      <c r="AQ211" s="45">
        <f t="shared" si="8"/>
        <v>0</v>
      </c>
      <c r="AR211" s="45" t="str">
        <f t="shared" si="9"/>
        <v>#DIV/0!</v>
      </c>
      <c r="AT211" s="45">
        <f t="shared" si="10"/>
        <v>0</v>
      </c>
      <c r="AU211" s="45">
        <f t="shared" si="11"/>
        <v>0</v>
      </c>
      <c r="AV211" s="45" t="str">
        <f t="shared" si="12"/>
        <v>#DIV/0!</v>
      </c>
      <c r="AX211" s="45">
        <f t="shared" si="13"/>
        <v>0</v>
      </c>
      <c r="AY211" s="45">
        <f t="shared" si="14"/>
        <v>0</v>
      </c>
      <c r="AZ211" s="45" t="str">
        <f t="shared" si="15"/>
        <v>#DIV/0!</v>
      </c>
      <c r="BB211" s="45">
        <f t="shared" si="16"/>
        <v>0</v>
      </c>
      <c r="BC211" s="45">
        <f t="shared" si="17"/>
        <v>0</v>
      </c>
      <c r="BD211" s="45" t="str">
        <f t="shared" si="18"/>
        <v>#DIV/0!</v>
      </c>
    </row>
    <row r="212" ht="15.75" customHeight="1">
      <c r="A212" s="52">
        <v>202.0</v>
      </c>
      <c r="B212" s="167" t="str">
        <f>'IA Test only'!B213</f>
        <v/>
      </c>
      <c r="C212" s="168" t="str">
        <f>'IA Test only'!C213</f>
        <v/>
      </c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53">
        <f t="shared" si="1"/>
        <v>0</v>
      </c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52">
        <f t="shared" si="2"/>
        <v>0</v>
      </c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52">
        <f t="shared" si="3"/>
        <v>0</v>
      </c>
      <c r="AL212" s="45">
        <f t="shared" si="4"/>
        <v>0</v>
      </c>
      <c r="AM212" s="45">
        <f t="shared" si="5"/>
        <v>0</v>
      </c>
      <c r="AN212" s="45" t="str">
        <f t="shared" si="6"/>
        <v>#DIV/0!</v>
      </c>
      <c r="AP212" s="45">
        <f t="shared" si="7"/>
        <v>0</v>
      </c>
      <c r="AQ212" s="45">
        <f t="shared" si="8"/>
        <v>0</v>
      </c>
      <c r="AR212" s="45" t="str">
        <f t="shared" si="9"/>
        <v>#DIV/0!</v>
      </c>
      <c r="AT212" s="45">
        <f t="shared" si="10"/>
        <v>0</v>
      </c>
      <c r="AU212" s="45">
        <f t="shared" si="11"/>
        <v>0</v>
      </c>
      <c r="AV212" s="45" t="str">
        <f t="shared" si="12"/>
        <v>#DIV/0!</v>
      </c>
      <c r="AX212" s="45">
        <f t="shared" si="13"/>
        <v>0</v>
      </c>
      <c r="AY212" s="45">
        <f t="shared" si="14"/>
        <v>0</v>
      </c>
      <c r="AZ212" s="45" t="str">
        <f t="shared" si="15"/>
        <v>#DIV/0!</v>
      </c>
      <c r="BB212" s="45">
        <f t="shared" si="16"/>
        <v>0</v>
      </c>
      <c r="BC212" s="45">
        <f t="shared" si="17"/>
        <v>0</v>
      </c>
      <c r="BD212" s="45" t="str">
        <f t="shared" si="18"/>
        <v>#DIV/0!</v>
      </c>
    </row>
    <row r="213" ht="15.75" customHeight="1">
      <c r="A213" s="52">
        <v>203.0</v>
      </c>
      <c r="B213" s="167" t="str">
        <f>'IA Test only'!B214</f>
        <v/>
      </c>
      <c r="C213" s="168" t="str">
        <f>'IA Test only'!C214</f>
        <v/>
      </c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53">
        <f t="shared" si="1"/>
        <v>0</v>
      </c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52">
        <f t="shared" si="2"/>
        <v>0</v>
      </c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52">
        <f t="shared" si="3"/>
        <v>0</v>
      </c>
      <c r="AL213" s="45">
        <f t="shared" si="4"/>
        <v>0</v>
      </c>
      <c r="AM213" s="45">
        <f t="shared" si="5"/>
        <v>0</v>
      </c>
      <c r="AN213" s="45" t="str">
        <f t="shared" si="6"/>
        <v>#DIV/0!</v>
      </c>
      <c r="AP213" s="45">
        <f t="shared" si="7"/>
        <v>0</v>
      </c>
      <c r="AQ213" s="45">
        <f t="shared" si="8"/>
        <v>0</v>
      </c>
      <c r="AR213" s="45" t="str">
        <f t="shared" si="9"/>
        <v>#DIV/0!</v>
      </c>
      <c r="AT213" s="45">
        <f t="shared" si="10"/>
        <v>0</v>
      </c>
      <c r="AU213" s="45">
        <f t="shared" si="11"/>
        <v>0</v>
      </c>
      <c r="AV213" s="45" t="str">
        <f t="shared" si="12"/>
        <v>#DIV/0!</v>
      </c>
      <c r="AX213" s="45">
        <f t="shared" si="13"/>
        <v>0</v>
      </c>
      <c r="AY213" s="45">
        <f t="shared" si="14"/>
        <v>0</v>
      </c>
      <c r="AZ213" s="45" t="str">
        <f t="shared" si="15"/>
        <v>#DIV/0!</v>
      </c>
      <c r="BB213" s="45">
        <f t="shared" si="16"/>
        <v>0</v>
      </c>
      <c r="BC213" s="45">
        <f t="shared" si="17"/>
        <v>0</v>
      </c>
      <c r="BD213" s="45" t="str">
        <f t="shared" si="18"/>
        <v>#DIV/0!</v>
      </c>
    </row>
    <row r="214" ht="15.75" customHeight="1">
      <c r="A214" s="52">
        <v>204.0</v>
      </c>
      <c r="B214" s="167" t="str">
        <f>'IA Test only'!B215</f>
        <v/>
      </c>
      <c r="C214" s="168" t="str">
        <f>'IA Test only'!C215</f>
        <v/>
      </c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53">
        <f t="shared" si="1"/>
        <v>0</v>
      </c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52">
        <f t="shared" si="2"/>
        <v>0</v>
      </c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52">
        <f t="shared" si="3"/>
        <v>0</v>
      </c>
      <c r="AL214" s="45">
        <f t="shared" si="4"/>
        <v>0</v>
      </c>
      <c r="AM214" s="45">
        <f t="shared" si="5"/>
        <v>0</v>
      </c>
      <c r="AN214" s="45" t="str">
        <f t="shared" si="6"/>
        <v>#DIV/0!</v>
      </c>
      <c r="AP214" s="45">
        <f t="shared" si="7"/>
        <v>0</v>
      </c>
      <c r="AQ214" s="45">
        <f t="shared" si="8"/>
        <v>0</v>
      </c>
      <c r="AR214" s="45" t="str">
        <f t="shared" si="9"/>
        <v>#DIV/0!</v>
      </c>
      <c r="AT214" s="45">
        <f t="shared" si="10"/>
        <v>0</v>
      </c>
      <c r="AU214" s="45">
        <f t="shared" si="11"/>
        <v>0</v>
      </c>
      <c r="AV214" s="45" t="str">
        <f t="shared" si="12"/>
        <v>#DIV/0!</v>
      </c>
      <c r="AX214" s="45">
        <f t="shared" si="13"/>
        <v>0</v>
      </c>
      <c r="AY214" s="45">
        <f t="shared" si="14"/>
        <v>0</v>
      </c>
      <c r="AZ214" s="45" t="str">
        <f t="shared" si="15"/>
        <v>#DIV/0!</v>
      </c>
      <c r="BB214" s="45">
        <f t="shared" si="16"/>
        <v>0</v>
      </c>
      <c r="BC214" s="45">
        <f t="shared" si="17"/>
        <v>0</v>
      </c>
      <c r="BD214" s="45" t="str">
        <f t="shared" si="18"/>
        <v>#DIV/0!</v>
      </c>
    </row>
    <row r="215" ht="15.75" customHeight="1">
      <c r="A215" s="52">
        <v>205.0</v>
      </c>
      <c r="B215" s="167" t="str">
        <f>'IA Test only'!B216</f>
        <v/>
      </c>
      <c r="C215" s="168" t="str">
        <f>'IA Test only'!C216</f>
        <v/>
      </c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53">
        <f t="shared" si="1"/>
        <v>0</v>
      </c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52">
        <f t="shared" si="2"/>
        <v>0</v>
      </c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52">
        <f t="shared" si="3"/>
        <v>0</v>
      </c>
      <c r="AL215" s="45">
        <f t="shared" si="4"/>
        <v>0</v>
      </c>
      <c r="AM215" s="45">
        <f t="shared" si="5"/>
        <v>0</v>
      </c>
      <c r="AN215" s="45" t="str">
        <f t="shared" si="6"/>
        <v>#DIV/0!</v>
      </c>
      <c r="AP215" s="45">
        <f t="shared" si="7"/>
        <v>0</v>
      </c>
      <c r="AQ215" s="45">
        <f t="shared" si="8"/>
        <v>0</v>
      </c>
      <c r="AR215" s="45" t="str">
        <f t="shared" si="9"/>
        <v>#DIV/0!</v>
      </c>
      <c r="AT215" s="45">
        <f t="shared" si="10"/>
        <v>0</v>
      </c>
      <c r="AU215" s="45">
        <f t="shared" si="11"/>
        <v>0</v>
      </c>
      <c r="AV215" s="45" t="str">
        <f t="shared" si="12"/>
        <v>#DIV/0!</v>
      </c>
      <c r="AX215" s="45">
        <f t="shared" si="13"/>
        <v>0</v>
      </c>
      <c r="AY215" s="45">
        <f t="shared" si="14"/>
        <v>0</v>
      </c>
      <c r="AZ215" s="45" t="str">
        <f t="shared" si="15"/>
        <v>#DIV/0!</v>
      </c>
      <c r="BB215" s="45">
        <f t="shared" si="16"/>
        <v>0</v>
      </c>
      <c r="BC215" s="45">
        <f t="shared" si="17"/>
        <v>0</v>
      </c>
      <c r="BD215" s="45" t="str">
        <f t="shared" si="18"/>
        <v>#DIV/0!</v>
      </c>
    </row>
    <row r="216" ht="15.75" customHeight="1">
      <c r="A216" s="52">
        <v>206.0</v>
      </c>
      <c r="B216" s="167" t="str">
        <f>'IA Test only'!B217</f>
        <v/>
      </c>
      <c r="C216" s="168" t="str">
        <f>'IA Test only'!C217</f>
        <v/>
      </c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53">
        <f t="shared" si="1"/>
        <v>0</v>
      </c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52">
        <f t="shared" si="2"/>
        <v>0</v>
      </c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52">
        <f t="shared" si="3"/>
        <v>0</v>
      </c>
      <c r="AL216" s="45">
        <f t="shared" si="4"/>
        <v>0</v>
      </c>
      <c r="AM216" s="45">
        <f t="shared" si="5"/>
        <v>0</v>
      </c>
      <c r="AN216" s="45" t="str">
        <f t="shared" si="6"/>
        <v>#DIV/0!</v>
      </c>
      <c r="AP216" s="45">
        <f t="shared" si="7"/>
        <v>0</v>
      </c>
      <c r="AQ216" s="45">
        <f t="shared" si="8"/>
        <v>0</v>
      </c>
      <c r="AR216" s="45" t="str">
        <f t="shared" si="9"/>
        <v>#DIV/0!</v>
      </c>
      <c r="AT216" s="45">
        <f t="shared" si="10"/>
        <v>0</v>
      </c>
      <c r="AU216" s="45">
        <f t="shared" si="11"/>
        <v>0</v>
      </c>
      <c r="AV216" s="45" t="str">
        <f t="shared" si="12"/>
        <v>#DIV/0!</v>
      </c>
      <c r="AX216" s="45">
        <f t="shared" si="13"/>
        <v>0</v>
      </c>
      <c r="AY216" s="45">
        <f t="shared" si="14"/>
        <v>0</v>
      </c>
      <c r="AZ216" s="45" t="str">
        <f t="shared" si="15"/>
        <v>#DIV/0!</v>
      </c>
      <c r="BB216" s="45">
        <f t="shared" si="16"/>
        <v>0</v>
      </c>
      <c r="BC216" s="45">
        <f t="shared" si="17"/>
        <v>0</v>
      </c>
      <c r="BD216" s="45" t="str">
        <f t="shared" si="18"/>
        <v>#DIV/0!</v>
      </c>
    </row>
    <row r="217" ht="15.75" customHeight="1">
      <c r="A217" s="52">
        <v>207.0</v>
      </c>
      <c r="B217" s="167" t="str">
        <f>'IA Test only'!B218</f>
        <v/>
      </c>
      <c r="C217" s="168" t="str">
        <f>'IA Test only'!C218</f>
        <v/>
      </c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53">
        <f t="shared" si="1"/>
        <v>0</v>
      </c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52">
        <f t="shared" si="2"/>
        <v>0</v>
      </c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52">
        <f t="shared" si="3"/>
        <v>0</v>
      </c>
      <c r="AL217" s="45">
        <f t="shared" si="4"/>
        <v>0</v>
      </c>
      <c r="AM217" s="45">
        <f t="shared" si="5"/>
        <v>0</v>
      </c>
      <c r="AN217" s="45" t="str">
        <f t="shared" si="6"/>
        <v>#DIV/0!</v>
      </c>
      <c r="AP217" s="45">
        <f t="shared" si="7"/>
        <v>0</v>
      </c>
      <c r="AQ217" s="45">
        <f t="shared" si="8"/>
        <v>0</v>
      </c>
      <c r="AR217" s="45" t="str">
        <f t="shared" si="9"/>
        <v>#DIV/0!</v>
      </c>
      <c r="AT217" s="45">
        <f t="shared" si="10"/>
        <v>0</v>
      </c>
      <c r="AU217" s="45">
        <f t="shared" si="11"/>
        <v>0</v>
      </c>
      <c r="AV217" s="45" t="str">
        <f t="shared" si="12"/>
        <v>#DIV/0!</v>
      </c>
      <c r="AX217" s="45">
        <f t="shared" si="13"/>
        <v>0</v>
      </c>
      <c r="AY217" s="45">
        <f t="shared" si="14"/>
        <v>0</v>
      </c>
      <c r="AZ217" s="45" t="str">
        <f t="shared" si="15"/>
        <v>#DIV/0!</v>
      </c>
      <c r="BB217" s="45">
        <f t="shared" si="16"/>
        <v>0</v>
      </c>
      <c r="BC217" s="45">
        <f t="shared" si="17"/>
        <v>0</v>
      </c>
      <c r="BD217" s="45" t="str">
        <f t="shared" si="18"/>
        <v>#DIV/0!</v>
      </c>
    </row>
    <row r="218" ht="15.75" customHeight="1">
      <c r="A218" s="52">
        <v>208.0</v>
      </c>
      <c r="B218" s="167" t="str">
        <f>'IA Test only'!B219</f>
        <v/>
      </c>
      <c r="C218" s="168" t="str">
        <f>'IA Test only'!C219</f>
        <v/>
      </c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53">
        <f t="shared" si="1"/>
        <v>0</v>
      </c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52">
        <f t="shared" si="2"/>
        <v>0</v>
      </c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52">
        <f t="shared" si="3"/>
        <v>0</v>
      </c>
      <c r="AL218" s="45">
        <f t="shared" si="4"/>
        <v>0</v>
      </c>
      <c r="AM218" s="45">
        <f t="shared" si="5"/>
        <v>0</v>
      </c>
      <c r="AN218" s="45" t="str">
        <f t="shared" si="6"/>
        <v>#DIV/0!</v>
      </c>
      <c r="AP218" s="45">
        <f t="shared" si="7"/>
        <v>0</v>
      </c>
      <c r="AQ218" s="45">
        <f t="shared" si="8"/>
        <v>0</v>
      </c>
      <c r="AR218" s="45" t="str">
        <f t="shared" si="9"/>
        <v>#DIV/0!</v>
      </c>
      <c r="AT218" s="45">
        <f t="shared" si="10"/>
        <v>0</v>
      </c>
      <c r="AU218" s="45">
        <f t="shared" si="11"/>
        <v>0</v>
      </c>
      <c r="AV218" s="45" t="str">
        <f t="shared" si="12"/>
        <v>#DIV/0!</v>
      </c>
      <c r="AX218" s="45">
        <f t="shared" si="13"/>
        <v>0</v>
      </c>
      <c r="AY218" s="45">
        <f t="shared" si="14"/>
        <v>0</v>
      </c>
      <c r="AZ218" s="45" t="str">
        <f t="shared" si="15"/>
        <v>#DIV/0!</v>
      </c>
      <c r="BB218" s="45">
        <f t="shared" si="16"/>
        <v>0</v>
      </c>
      <c r="BC218" s="45">
        <f t="shared" si="17"/>
        <v>0</v>
      </c>
      <c r="BD218" s="45" t="str">
        <f t="shared" si="18"/>
        <v>#DIV/0!</v>
      </c>
    </row>
    <row r="219" ht="15.75" customHeight="1">
      <c r="A219" s="52">
        <v>209.0</v>
      </c>
      <c r="B219" s="167" t="str">
        <f>'IA Test only'!B220</f>
        <v/>
      </c>
      <c r="C219" s="168" t="str">
        <f>'IA Test only'!C220</f>
        <v/>
      </c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53">
        <f t="shared" si="1"/>
        <v>0</v>
      </c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52">
        <f t="shared" si="2"/>
        <v>0</v>
      </c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52">
        <f t="shared" si="3"/>
        <v>0</v>
      </c>
      <c r="AL219" s="45">
        <f t="shared" si="4"/>
        <v>0</v>
      </c>
      <c r="AM219" s="45">
        <f t="shared" si="5"/>
        <v>0</v>
      </c>
      <c r="AN219" s="45" t="str">
        <f t="shared" si="6"/>
        <v>#DIV/0!</v>
      </c>
      <c r="AP219" s="45">
        <f t="shared" si="7"/>
        <v>0</v>
      </c>
      <c r="AQ219" s="45">
        <f t="shared" si="8"/>
        <v>0</v>
      </c>
      <c r="AR219" s="45" t="str">
        <f t="shared" si="9"/>
        <v>#DIV/0!</v>
      </c>
      <c r="AT219" s="45">
        <f t="shared" si="10"/>
        <v>0</v>
      </c>
      <c r="AU219" s="45">
        <f t="shared" si="11"/>
        <v>0</v>
      </c>
      <c r="AV219" s="45" t="str">
        <f t="shared" si="12"/>
        <v>#DIV/0!</v>
      </c>
      <c r="AX219" s="45">
        <f t="shared" si="13"/>
        <v>0</v>
      </c>
      <c r="AY219" s="45">
        <f t="shared" si="14"/>
        <v>0</v>
      </c>
      <c r="AZ219" s="45" t="str">
        <f t="shared" si="15"/>
        <v>#DIV/0!</v>
      </c>
      <c r="BB219" s="45">
        <f t="shared" si="16"/>
        <v>0</v>
      </c>
      <c r="BC219" s="45">
        <f t="shared" si="17"/>
        <v>0</v>
      </c>
      <c r="BD219" s="45" t="str">
        <f t="shared" si="18"/>
        <v>#DIV/0!</v>
      </c>
    </row>
    <row r="220" ht="15.75" customHeight="1">
      <c r="A220" s="52">
        <v>210.0</v>
      </c>
      <c r="B220" s="167" t="str">
        <f>'IA Test only'!B221</f>
        <v/>
      </c>
      <c r="C220" s="168" t="str">
        <f>'IA Test only'!C221</f>
        <v/>
      </c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53">
        <f t="shared" si="1"/>
        <v>0</v>
      </c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52">
        <f t="shared" si="2"/>
        <v>0</v>
      </c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52">
        <f t="shared" si="3"/>
        <v>0</v>
      </c>
      <c r="AL220" s="45">
        <f t="shared" si="4"/>
        <v>0</v>
      </c>
      <c r="AM220" s="45">
        <f t="shared" si="5"/>
        <v>0</v>
      </c>
      <c r="AN220" s="45" t="str">
        <f t="shared" si="6"/>
        <v>#DIV/0!</v>
      </c>
      <c r="AP220" s="45">
        <f t="shared" si="7"/>
        <v>0</v>
      </c>
      <c r="AQ220" s="45">
        <f t="shared" si="8"/>
        <v>0</v>
      </c>
      <c r="AR220" s="45" t="str">
        <f t="shared" si="9"/>
        <v>#DIV/0!</v>
      </c>
      <c r="AT220" s="45">
        <f t="shared" si="10"/>
        <v>0</v>
      </c>
      <c r="AU220" s="45">
        <f t="shared" si="11"/>
        <v>0</v>
      </c>
      <c r="AV220" s="45" t="str">
        <f t="shared" si="12"/>
        <v>#DIV/0!</v>
      </c>
      <c r="AX220" s="45">
        <f t="shared" si="13"/>
        <v>0</v>
      </c>
      <c r="AY220" s="45">
        <f t="shared" si="14"/>
        <v>0</v>
      </c>
      <c r="AZ220" s="45" t="str">
        <f t="shared" si="15"/>
        <v>#DIV/0!</v>
      </c>
      <c r="BB220" s="45">
        <f t="shared" si="16"/>
        <v>0</v>
      </c>
      <c r="BC220" s="45">
        <f t="shared" si="17"/>
        <v>0</v>
      </c>
      <c r="BD220" s="45" t="str">
        <f t="shared" si="18"/>
        <v>#DIV/0!</v>
      </c>
    </row>
    <row r="221" ht="15.75" customHeight="1">
      <c r="A221" s="52">
        <v>211.0</v>
      </c>
      <c r="B221" s="167" t="str">
        <f>'IA Test only'!B222</f>
        <v/>
      </c>
      <c r="C221" s="168" t="str">
        <f>'IA Test only'!C222</f>
        <v/>
      </c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53">
        <f t="shared" si="1"/>
        <v>0</v>
      </c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52">
        <f t="shared" si="2"/>
        <v>0</v>
      </c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52">
        <f t="shared" si="3"/>
        <v>0</v>
      </c>
      <c r="AL221" s="45">
        <f t="shared" si="4"/>
        <v>0</v>
      </c>
      <c r="AM221" s="45">
        <f t="shared" si="5"/>
        <v>0</v>
      </c>
      <c r="AN221" s="45" t="str">
        <f t="shared" si="6"/>
        <v>#DIV/0!</v>
      </c>
      <c r="AP221" s="45">
        <f t="shared" si="7"/>
        <v>0</v>
      </c>
      <c r="AQ221" s="45">
        <f t="shared" si="8"/>
        <v>0</v>
      </c>
      <c r="AR221" s="45" t="str">
        <f t="shared" si="9"/>
        <v>#DIV/0!</v>
      </c>
      <c r="AT221" s="45">
        <f t="shared" si="10"/>
        <v>0</v>
      </c>
      <c r="AU221" s="45">
        <f t="shared" si="11"/>
        <v>0</v>
      </c>
      <c r="AV221" s="45" t="str">
        <f t="shared" si="12"/>
        <v>#DIV/0!</v>
      </c>
      <c r="AX221" s="45">
        <f t="shared" si="13"/>
        <v>0</v>
      </c>
      <c r="AY221" s="45">
        <f t="shared" si="14"/>
        <v>0</v>
      </c>
      <c r="AZ221" s="45" t="str">
        <f t="shared" si="15"/>
        <v>#DIV/0!</v>
      </c>
      <c r="BB221" s="45">
        <f t="shared" si="16"/>
        <v>0</v>
      </c>
      <c r="BC221" s="45">
        <f t="shared" si="17"/>
        <v>0</v>
      </c>
      <c r="BD221" s="45" t="str">
        <f t="shared" si="18"/>
        <v>#DIV/0!</v>
      </c>
    </row>
    <row r="222" ht="15.75" customHeight="1">
      <c r="A222" s="52">
        <v>212.0</v>
      </c>
      <c r="B222" s="167" t="str">
        <f>'IA Test only'!B223</f>
        <v/>
      </c>
      <c r="C222" s="168" t="str">
        <f>'IA Test only'!C223</f>
        <v/>
      </c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53">
        <f t="shared" si="1"/>
        <v>0</v>
      </c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52">
        <f t="shared" si="2"/>
        <v>0</v>
      </c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52">
        <f t="shared" si="3"/>
        <v>0</v>
      </c>
      <c r="AL222" s="45">
        <f t="shared" si="4"/>
        <v>0</v>
      </c>
      <c r="AM222" s="45">
        <f t="shared" si="5"/>
        <v>0</v>
      </c>
      <c r="AN222" s="45" t="str">
        <f t="shared" si="6"/>
        <v>#DIV/0!</v>
      </c>
      <c r="AP222" s="45">
        <f t="shared" si="7"/>
        <v>0</v>
      </c>
      <c r="AQ222" s="45">
        <f t="shared" si="8"/>
        <v>0</v>
      </c>
      <c r="AR222" s="45" t="str">
        <f t="shared" si="9"/>
        <v>#DIV/0!</v>
      </c>
      <c r="AT222" s="45">
        <f t="shared" si="10"/>
        <v>0</v>
      </c>
      <c r="AU222" s="45">
        <f t="shared" si="11"/>
        <v>0</v>
      </c>
      <c r="AV222" s="45" t="str">
        <f t="shared" si="12"/>
        <v>#DIV/0!</v>
      </c>
      <c r="AX222" s="45">
        <f t="shared" si="13"/>
        <v>0</v>
      </c>
      <c r="AY222" s="45">
        <f t="shared" si="14"/>
        <v>0</v>
      </c>
      <c r="AZ222" s="45" t="str">
        <f t="shared" si="15"/>
        <v>#DIV/0!</v>
      </c>
      <c r="BB222" s="45">
        <f t="shared" si="16"/>
        <v>0</v>
      </c>
      <c r="BC222" s="45">
        <f t="shared" si="17"/>
        <v>0</v>
      </c>
      <c r="BD222" s="45" t="str">
        <f t="shared" si="18"/>
        <v>#DIV/0!</v>
      </c>
    </row>
    <row r="223" ht="15.75" customHeight="1">
      <c r="A223" s="52">
        <v>213.0</v>
      </c>
      <c r="B223" s="167" t="str">
        <f>'IA Test only'!B224</f>
        <v/>
      </c>
      <c r="C223" s="168" t="str">
        <f>'IA Test only'!C224</f>
        <v/>
      </c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53">
        <f t="shared" si="1"/>
        <v>0</v>
      </c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52">
        <f t="shared" si="2"/>
        <v>0</v>
      </c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52">
        <f t="shared" si="3"/>
        <v>0</v>
      </c>
      <c r="AL223" s="45">
        <f t="shared" si="4"/>
        <v>0</v>
      </c>
      <c r="AM223" s="45">
        <f t="shared" si="5"/>
        <v>0</v>
      </c>
      <c r="AN223" s="45" t="str">
        <f t="shared" si="6"/>
        <v>#DIV/0!</v>
      </c>
      <c r="AP223" s="45">
        <f t="shared" si="7"/>
        <v>0</v>
      </c>
      <c r="AQ223" s="45">
        <f t="shared" si="8"/>
        <v>0</v>
      </c>
      <c r="AR223" s="45" t="str">
        <f t="shared" si="9"/>
        <v>#DIV/0!</v>
      </c>
      <c r="AT223" s="45">
        <f t="shared" si="10"/>
        <v>0</v>
      </c>
      <c r="AU223" s="45">
        <f t="shared" si="11"/>
        <v>0</v>
      </c>
      <c r="AV223" s="45" t="str">
        <f t="shared" si="12"/>
        <v>#DIV/0!</v>
      </c>
      <c r="AX223" s="45">
        <f t="shared" si="13"/>
        <v>0</v>
      </c>
      <c r="AY223" s="45">
        <f t="shared" si="14"/>
        <v>0</v>
      </c>
      <c r="AZ223" s="45" t="str">
        <f t="shared" si="15"/>
        <v>#DIV/0!</v>
      </c>
      <c r="BB223" s="45">
        <f t="shared" si="16"/>
        <v>0</v>
      </c>
      <c r="BC223" s="45">
        <f t="shared" si="17"/>
        <v>0</v>
      </c>
      <c r="BD223" s="45" t="str">
        <f t="shared" si="18"/>
        <v>#DIV/0!</v>
      </c>
    </row>
    <row r="224" ht="15.75" customHeight="1">
      <c r="A224" s="52">
        <v>214.0</v>
      </c>
      <c r="B224" s="167" t="str">
        <f>'IA Test only'!B225</f>
        <v/>
      </c>
      <c r="C224" s="168" t="str">
        <f>'IA Test only'!C225</f>
        <v/>
      </c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53">
        <f t="shared" si="1"/>
        <v>0</v>
      </c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52">
        <f t="shared" si="2"/>
        <v>0</v>
      </c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52">
        <f t="shared" si="3"/>
        <v>0</v>
      </c>
      <c r="AL224" s="45">
        <f t="shared" si="4"/>
        <v>0</v>
      </c>
      <c r="AM224" s="45">
        <f t="shared" si="5"/>
        <v>0</v>
      </c>
      <c r="AN224" s="45" t="str">
        <f t="shared" si="6"/>
        <v>#DIV/0!</v>
      </c>
      <c r="AP224" s="45">
        <f t="shared" si="7"/>
        <v>0</v>
      </c>
      <c r="AQ224" s="45">
        <f t="shared" si="8"/>
        <v>0</v>
      </c>
      <c r="AR224" s="45" t="str">
        <f t="shared" si="9"/>
        <v>#DIV/0!</v>
      </c>
      <c r="AT224" s="45">
        <f t="shared" si="10"/>
        <v>0</v>
      </c>
      <c r="AU224" s="45">
        <f t="shared" si="11"/>
        <v>0</v>
      </c>
      <c r="AV224" s="45" t="str">
        <f t="shared" si="12"/>
        <v>#DIV/0!</v>
      </c>
      <c r="AX224" s="45">
        <f t="shared" si="13"/>
        <v>0</v>
      </c>
      <c r="AY224" s="45">
        <f t="shared" si="14"/>
        <v>0</v>
      </c>
      <c r="AZ224" s="45" t="str">
        <f t="shared" si="15"/>
        <v>#DIV/0!</v>
      </c>
      <c r="BB224" s="45">
        <f t="shared" si="16"/>
        <v>0</v>
      </c>
      <c r="BC224" s="45">
        <f t="shared" si="17"/>
        <v>0</v>
      </c>
      <c r="BD224" s="45" t="str">
        <f t="shared" si="18"/>
        <v>#DIV/0!</v>
      </c>
    </row>
    <row r="225" ht="15.75" customHeight="1">
      <c r="A225" s="52">
        <v>215.0</v>
      </c>
      <c r="B225" s="167" t="str">
        <f>'IA Test only'!B226</f>
        <v/>
      </c>
      <c r="C225" s="168" t="str">
        <f>'IA Test only'!C226</f>
        <v/>
      </c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53">
        <f t="shared" si="1"/>
        <v>0</v>
      </c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52">
        <f t="shared" si="2"/>
        <v>0</v>
      </c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52">
        <f t="shared" si="3"/>
        <v>0</v>
      </c>
      <c r="AL225" s="45">
        <f t="shared" si="4"/>
        <v>0</v>
      </c>
      <c r="AM225" s="45">
        <f t="shared" si="5"/>
        <v>0</v>
      </c>
      <c r="AN225" s="45" t="str">
        <f t="shared" si="6"/>
        <v>#DIV/0!</v>
      </c>
      <c r="AP225" s="45">
        <f t="shared" si="7"/>
        <v>0</v>
      </c>
      <c r="AQ225" s="45">
        <f t="shared" si="8"/>
        <v>0</v>
      </c>
      <c r="AR225" s="45" t="str">
        <f t="shared" si="9"/>
        <v>#DIV/0!</v>
      </c>
      <c r="AT225" s="45">
        <f t="shared" si="10"/>
        <v>0</v>
      </c>
      <c r="AU225" s="45">
        <f t="shared" si="11"/>
        <v>0</v>
      </c>
      <c r="AV225" s="45" t="str">
        <f t="shared" si="12"/>
        <v>#DIV/0!</v>
      </c>
      <c r="AX225" s="45">
        <f t="shared" si="13"/>
        <v>0</v>
      </c>
      <c r="AY225" s="45">
        <f t="shared" si="14"/>
        <v>0</v>
      </c>
      <c r="AZ225" s="45" t="str">
        <f t="shared" si="15"/>
        <v>#DIV/0!</v>
      </c>
      <c r="BB225" s="45">
        <f t="shared" si="16"/>
        <v>0</v>
      </c>
      <c r="BC225" s="45">
        <f t="shared" si="17"/>
        <v>0</v>
      </c>
      <c r="BD225" s="45" t="str">
        <f t="shared" si="18"/>
        <v>#DIV/0!</v>
      </c>
    </row>
    <row r="226" ht="15.75" customHeight="1">
      <c r="A226" s="52">
        <v>216.0</v>
      </c>
      <c r="B226" s="167" t="str">
        <f>'IA Test only'!B227</f>
        <v/>
      </c>
      <c r="C226" s="168" t="str">
        <f>'IA Test only'!C227</f>
        <v/>
      </c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53">
        <f t="shared" si="1"/>
        <v>0</v>
      </c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52">
        <f t="shared" si="2"/>
        <v>0</v>
      </c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52">
        <f t="shared" si="3"/>
        <v>0</v>
      </c>
      <c r="AL226" s="45">
        <f t="shared" si="4"/>
        <v>0</v>
      </c>
      <c r="AM226" s="45">
        <f t="shared" si="5"/>
        <v>0</v>
      </c>
      <c r="AN226" s="45" t="str">
        <f t="shared" si="6"/>
        <v>#DIV/0!</v>
      </c>
      <c r="AP226" s="45">
        <f t="shared" si="7"/>
        <v>0</v>
      </c>
      <c r="AQ226" s="45">
        <f t="shared" si="8"/>
        <v>0</v>
      </c>
      <c r="AR226" s="45" t="str">
        <f t="shared" si="9"/>
        <v>#DIV/0!</v>
      </c>
      <c r="AT226" s="45">
        <f t="shared" si="10"/>
        <v>0</v>
      </c>
      <c r="AU226" s="45">
        <f t="shared" si="11"/>
        <v>0</v>
      </c>
      <c r="AV226" s="45" t="str">
        <f t="shared" si="12"/>
        <v>#DIV/0!</v>
      </c>
      <c r="AX226" s="45">
        <f t="shared" si="13"/>
        <v>0</v>
      </c>
      <c r="AY226" s="45">
        <f t="shared" si="14"/>
        <v>0</v>
      </c>
      <c r="AZ226" s="45" t="str">
        <f t="shared" si="15"/>
        <v>#DIV/0!</v>
      </c>
      <c r="BB226" s="45">
        <f t="shared" si="16"/>
        <v>0</v>
      </c>
      <c r="BC226" s="45">
        <f t="shared" si="17"/>
        <v>0</v>
      </c>
      <c r="BD226" s="45" t="str">
        <f t="shared" si="18"/>
        <v>#DIV/0!</v>
      </c>
    </row>
    <row r="227" ht="15.75" customHeight="1">
      <c r="A227" s="52">
        <v>217.0</v>
      </c>
      <c r="B227" s="167" t="str">
        <f>'IA Test only'!B228</f>
        <v/>
      </c>
      <c r="C227" s="168" t="str">
        <f>'IA Test only'!C228</f>
        <v/>
      </c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53">
        <f t="shared" si="1"/>
        <v>0</v>
      </c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52">
        <f t="shared" si="2"/>
        <v>0</v>
      </c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52">
        <f t="shared" si="3"/>
        <v>0</v>
      </c>
      <c r="AL227" s="45">
        <f t="shared" si="4"/>
        <v>0</v>
      </c>
      <c r="AM227" s="45">
        <f t="shared" si="5"/>
        <v>0</v>
      </c>
      <c r="AN227" s="45" t="str">
        <f t="shared" si="6"/>
        <v>#DIV/0!</v>
      </c>
      <c r="AP227" s="45">
        <f t="shared" si="7"/>
        <v>0</v>
      </c>
      <c r="AQ227" s="45">
        <f t="shared" si="8"/>
        <v>0</v>
      </c>
      <c r="AR227" s="45" t="str">
        <f t="shared" si="9"/>
        <v>#DIV/0!</v>
      </c>
      <c r="AT227" s="45">
        <f t="shared" si="10"/>
        <v>0</v>
      </c>
      <c r="AU227" s="45">
        <f t="shared" si="11"/>
        <v>0</v>
      </c>
      <c r="AV227" s="45" t="str">
        <f t="shared" si="12"/>
        <v>#DIV/0!</v>
      </c>
      <c r="AX227" s="45">
        <f t="shared" si="13"/>
        <v>0</v>
      </c>
      <c r="AY227" s="45">
        <f t="shared" si="14"/>
        <v>0</v>
      </c>
      <c r="AZ227" s="45" t="str">
        <f t="shared" si="15"/>
        <v>#DIV/0!</v>
      </c>
      <c r="BB227" s="45">
        <f t="shared" si="16"/>
        <v>0</v>
      </c>
      <c r="BC227" s="45">
        <f t="shared" si="17"/>
        <v>0</v>
      </c>
      <c r="BD227" s="45" t="str">
        <f t="shared" si="18"/>
        <v>#DIV/0!</v>
      </c>
    </row>
    <row r="228" ht="15.75" customHeight="1">
      <c r="A228" s="52">
        <v>218.0</v>
      </c>
      <c r="B228" s="167" t="str">
        <f>'IA Test only'!B229</f>
        <v/>
      </c>
      <c r="C228" s="168" t="str">
        <f>'IA Test only'!C229</f>
        <v/>
      </c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53">
        <f t="shared" si="1"/>
        <v>0</v>
      </c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52">
        <f t="shared" si="2"/>
        <v>0</v>
      </c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52">
        <f t="shared" si="3"/>
        <v>0</v>
      </c>
      <c r="AL228" s="45">
        <f t="shared" si="4"/>
        <v>0</v>
      </c>
      <c r="AM228" s="45">
        <f t="shared" si="5"/>
        <v>0</v>
      </c>
      <c r="AN228" s="45" t="str">
        <f t="shared" si="6"/>
        <v>#DIV/0!</v>
      </c>
      <c r="AP228" s="45">
        <f t="shared" si="7"/>
        <v>0</v>
      </c>
      <c r="AQ228" s="45">
        <f t="shared" si="8"/>
        <v>0</v>
      </c>
      <c r="AR228" s="45" t="str">
        <f t="shared" si="9"/>
        <v>#DIV/0!</v>
      </c>
      <c r="AT228" s="45">
        <f t="shared" si="10"/>
        <v>0</v>
      </c>
      <c r="AU228" s="45">
        <f t="shared" si="11"/>
        <v>0</v>
      </c>
      <c r="AV228" s="45" t="str">
        <f t="shared" si="12"/>
        <v>#DIV/0!</v>
      </c>
      <c r="AX228" s="45">
        <f t="shared" si="13"/>
        <v>0</v>
      </c>
      <c r="AY228" s="45">
        <f t="shared" si="14"/>
        <v>0</v>
      </c>
      <c r="AZ228" s="45" t="str">
        <f t="shared" si="15"/>
        <v>#DIV/0!</v>
      </c>
      <c r="BB228" s="45">
        <f t="shared" si="16"/>
        <v>0</v>
      </c>
      <c r="BC228" s="45">
        <f t="shared" si="17"/>
        <v>0</v>
      </c>
      <c r="BD228" s="45" t="str">
        <f t="shared" si="18"/>
        <v>#DIV/0!</v>
      </c>
    </row>
    <row r="229" ht="15.75" customHeight="1">
      <c r="A229" s="52">
        <v>219.0</v>
      </c>
      <c r="B229" s="167" t="str">
        <f>'IA Test only'!B230</f>
        <v/>
      </c>
      <c r="C229" s="168" t="str">
        <f>'IA Test only'!C230</f>
        <v/>
      </c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53">
        <f t="shared" si="1"/>
        <v>0</v>
      </c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52">
        <f t="shared" si="2"/>
        <v>0</v>
      </c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52">
        <f t="shared" si="3"/>
        <v>0</v>
      </c>
      <c r="AL229" s="45">
        <f t="shared" si="4"/>
        <v>0</v>
      </c>
      <c r="AM229" s="45">
        <f t="shared" si="5"/>
        <v>0</v>
      </c>
      <c r="AN229" s="45" t="str">
        <f t="shared" si="6"/>
        <v>#DIV/0!</v>
      </c>
      <c r="AP229" s="45">
        <f t="shared" si="7"/>
        <v>0</v>
      </c>
      <c r="AQ229" s="45">
        <f t="shared" si="8"/>
        <v>0</v>
      </c>
      <c r="AR229" s="45" t="str">
        <f t="shared" si="9"/>
        <v>#DIV/0!</v>
      </c>
      <c r="AT229" s="45">
        <f t="shared" si="10"/>
        <v>0</v>
      </c>
      <c r="AU229" s="45">
        <f t="shared" si="11"/>
        <v>0</v>
      </c>
      <c r="AV229" s="45" t="str">
        <f t="shared" si="12"/>
        <v>#DIV/0!</v>
      </c>
      <c r="AX229" s="45">
        <f t="shared" si="13"/>
        <v>0</v>
      </c>
      <c r="AY229" s="45">
        <f t="shared" si="14"/>
        <v>0</v>
      </c>
      <c r="AZ229" s="45" t="str">
        <f t="shared" si="15"/>
        <v>#DIV/0!</v>
      </c>
      <c r="BB229" s="45">
        <f t="shared" si="16"/>
        <v>0</v>
      </c>
      <c r="BC229" s="45">
        <f t="shared" si="17"/>
        <v>0</v>
      </c>
      <c r="BD229" s="45" t="str">
        <f t="shared" si="18"/>
        <v>#DIV/0!</v>
      </c>
    </row>
    <row r="230" ht="15.75" customHeight="1">
      <c r="A230" s="52">
        <v>220.0</v>
      </c>
      <c r="B230" s="167" t="str">
        <f>'IA Test only'!B231</f>
        <v/>
      </c>
      <c r="C230" s="168" t="str">
        <f>'IA Test only'!C231</f>
        <v/>
      </c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53">
        <f t="shared" si="1"/>
        <v>0</v>
      </c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52">
        <f t="shared" si="2"/>
        <v>0</v>
      </c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52">
        <f t="shared" si="3"/>
        <v>0</v>
      </c>
      <c r="AL230" s="45">
        <f t="shared" si="4"/>
        <v>0</v>
      </c>
      <c r="AM230" s="45">
        <f t="shared" si="5"/>
        <v>0</v>
      </c>
      <c r="AN230" s="45" t="str">
        <f t="shared" si="6"/>
        <v>#DIV/0!</v>
      </c>
      <c r="AP230" s="45">
        <f t="shared" si="7"/>
        <v>0</v>
      </c>
      <c r="AQ230" s="45">
        <f t="shared" si="8"/>
        <v>0</v>
      </c>
      <c r="AR230" s="45" t="str">
        <f t="shared" si="9"/>
        <v>#DIV/0!</v>
      </c>
      <c r="AT230" s="45">
        <f t="shared" si="10"/>
        <v>0</v>
      </c>
      <c r="AU230" s="45">
        <f t="shared" si="11"/>
        <v>0</v>
      </c>
      <c r="AV230" s="45" t="str">
        <f t="shared" si="12"/>
        <v>#DIV/0!</v>
      </c>
      <c r="AX230" s="45">
        <f t="shared" si="13"/>
        <v>0</v>
      </c>
      <c r="AY230" s="45">
        <f t="shared" si="14"/>
        <v>0</v>
      </c>
      <c r="AZ230" s="45" t="str">
        <f t="shared" si="15"/>
        <v>#DIV/0!</v>
      </c>
      <c r="BB230" s="45">
        <f t="shared" si="16"/>
        <v>0</v>
      </c>
      <c r="BC230" s="45">
        <f t="shared" si="17"/>
        <v>0</v>
      </c>
      <c r="BD230" s="45" t="str">
        <f t="shared" si="18"/>
        <v>#DIV/0!</v>
      </c>
    </row>
    <row r="231" ht="15.75" customHeight="1">
      <c r="A231" s="52">
        <v>221.0</v>
      </c>
      <c r="B231" s="167" t="str">
        <f>'IA Test only'!B232</f>
        <v/>
      </c>
      <c r="C231" s="168" t="str">
        <f>'IA Test only'!C232</f>
        <v/>
      </c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53">
        <f t="shared" si="1"/>
        <v>0</v>
      </c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52">
        <f t="shared" si="2"/>
        <v>0</v>
      </c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52">
        <f t="shared" si="3"/>
        <v>0</v>
      </c>
      <c r="AL231" s="45">
        <f t="shared" si="4"/>
        <v>0</v>
      </c>
      <c r="AM231" s="45">
        <f t="shared" si="5"/>
        <v>0</v>
      </c>
      <c r="AN231" s="45" t="str">
        <f t="shared" si="6"/>
        <v>#DIV/0!</v>
      </c>
      <c r="AP231" s="45">
        <f t="shared" si="7"/>
        <v>0</v>
      </c>
      <c r="AQ231" s="45">
        <f t="shared" si="8"/>
        <v>0</v>
      </c>
      <c r="AR231" s="45" t="str">
        <f t="shared" si="9"/>
        <v>#DIV/0!</v>
      </c>
      <c r="AT231" s="45">
        <f t="shared" si="10"/>
        <v>0</v>
      </c>
      <c r="AU231" s="45">
        <f t="shared" si="11"/>
        <v>0</v>
      </c>
      <c r="AV231" s="45" t="str">
        <f t="shared" si="12"/>
        <v>#DIV/0!</v>
      </c>
      <c r="AX231" s="45">
        <f t="shared" si="13"/>
        <v>0</v>
      </c>
      <c r="AY231" s="45">
        <f t="shared" si="14"/>
        <v>0</v>
      </c>
      <c r="AZ231" s="45" t="str">
        <f t="shared" si="15"/>
        <v>#DIV/0!</v>
      </c>
      <c r="BB231" s="45">
        <f t="shared" si="16"/>
        <v>0</v>
      </c>
      <c r="BC231" s="45">
        <f t="shared" si="17"/>
        <v>0</v>
      </c>
      <c r="BD231" s="45" t="str">
        <f t="shared" si="18"/>
        <v>#DIV/0!</v>
      </c>
    </row>
    <row r="232" ht="15.75" customHeight="1">
      <c r="A232" s="52">
        <v>222.0</v>
      </c>
      <c r="B232" s="167" t="str">
        <f>'IA Test only'!B233</f>
        <v/>
      </c>
      <c r="C232" s="168" t="str">
        <f>'IA Test only'!C233</f>
        <v/>
      </c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53">
        <f t="shared" si="1"/>
        <v>0</v>
      </c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52">
        <f t="shared" si="2"/>
        <v>0</v>
      </c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52">
        <f t="shared" si="3"/>
        <v>0</v>
      </c>
      <c r="AL232" s="45">
        <f t="shared" si="4"/>
        <v>0</v>
      </c>
      <c r="AM232" s="45">
        <f t="shared" si="5"/>
        <v>0</v>
      </c>
      <c r="AN232" s="45" t="str">
        <f t="shared" si="6"/>
        <v>#DIV/0!</v>
      </c>
      <c r="AP232" s="45">
        <f t="shared" si="7"/>
        <v>0</v>
      </c>
      <c r="AQ232" s="45">
        <f t="shared" si="8"/>
        <v>0</v>
      </c>
      <c r="AR232" s="45" t="str">
        <f t="shared" si="9"/>
        <v>#DIV/0!</v>
      </c>
      <c r="AT232" s="45">
        <f t="shared" si="10"/>
        <v>0</v>
      </c>
      <c r="AU232" s="45">
        <f t="shared" si="11"/>
        <v>0</v>
      </c>
      <c r="AV232" s="45" t="str">
        <f t="shared" si="12"/>
        <v>#DIV/0!</v>
      </c>
      <c r="AX232" s="45">
        <f t="shared" si="13"/>
        <v>0</v>
      </c>
      <c r="AY232" s="45">
        <f t="shared" si="14"/>
        <v>0</v>
      </c>
      <c r="AZ232" s="45" t="str">
        <f t="shared" si="15"/>
        <v>#DIV/0!</v>
      </c>
      <c r="BB232" s="45">
        <f t="shared" si="16"/>
        <v>0</v>
      </c>
      <c r="BC232" s="45">
        <f t="shared" si="17"/>
        <v>0</v>
      </c>
      <c r="BD232" s="45" t="str">
        <f t="shared" si="18"/>
        <v>#DIV/0!</v>
      </c>
    </row>
    <row r="233" ht="15.75" customHeight="1">
      <c r="A233" s="52">
        <v>223.0</v>
      </c>
      <c r="B233" s="167" t="str">
        <f>'IA Test only'!B234</f>
        <v/>
      </c>
      <c r="C233" s="168" t="str">
        <f>'IA Test only'!C234</f>
        <v/>
      </c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53">
        <f t="shared" si="1"/>
        <v>0</v>
      </c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52">
        <f t="shared" si="2"/>
        <v>0</v>
      </c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52">
        <f t="shared" si="3"/>
        <v>0</v>
      </c>
      <c r="AL233" s="45">
        <f t="shared" si="4"/>
        <v>0</v>
      </c>
      <c r="AM233" s="45">
        <f t="shared" si="5"/>
        <v>0</v>
      </c>
      <c r="AN233" s="45" t="str">
        <f t="shared" si="6"/>
        <v>#DIV/0!</v>
      </c>
      <c r="AP233" s="45">
        <f t="shared" si="7"/>
        <v>0</v>
      </c>
      <c r="AQ233" s="45">
        <f t="shared" si="8"/>
        <v>0</v>
      </c>
      <c r="AR233" s="45" t="str">
        <f t="shared" si="9"/>
        <v>#DIV/0!</v>
      </c>
      <c r="AT233" s="45">
        <f t="shared" si="10"/>
        <v>0</v>
      </c>
      <c r="AU233" s="45">
        <f t="shared" si="11"/>
        <v>0</v>
      </c>
      <c r="AV233" s="45" t="str">
        <f t="shared" si="12"/>
        <v>#DIV/0!</v>
      </c>
      <c r="AX233" s="45">
        <f t="shared" si="13"/>
        <v>0</v>
      </c>
      <c r="AY233" s="45">
        <f t="shared" si="14"/>
        <v>0</v>
      </c>
      <c r="AZ233" s="45" t="str">
        <f t="shared" si="15"/>
        <v>#DIV/0!</v>
      </c>
      <c r="BB233" s="45">
        <f t="shared" si="16"/>
        <v>0</v>
      </c>
      <c r="BC233" s="45">
        <f t="shared" si="17"/>
        <v>0</v>
      </c>
      <c r="BD233" s="45" t="str">
        <f t="shared" si="18"/>
        <v>#DIV/0!</v>
      </c>
    </row>
    <row r="234" ht="15.75" customHeight="1">
      <c r="A234" s="52">
        <v>224.0</v>
      </c>
      <c r="B234" s="167" t="str">
        <f>'IA Test only'!B235</f>
        <v/>
      </c>
      <c r="C234" s="168" t="str">
        <f>'IA Test only'!C235</f>
        <v/>
      </c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53">
        <f t="shared" si="1"/>
        <v>0</v>
      </c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52">
        <f t="shared" si="2"/>
        <v>0</v>
      </c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52">
        <f t="shared" si="3"/>
        <v>0</v>
      </c>
      <c r="AL234" s="45">
        <f t="shared" si="4"/>
        <v>0</v>
      </c>
      <c r="AM234" s="45">
        <f t="shared" si="5"/>
        <v>0</v>
      </c>
      <c r="AN234" s="45" t="str">
        <f t="shared" si="6"/>
        <v>#DIV/0!</v>
      </c>
      <c r="AP234" s="45">
        <f t="shared" si="7"/>
        <v>0</v>
      </c>
      <c r="AQ234" s="45">
        <f t="shared" si="8"/>
        <v>0</v>
      </c>
      <c r="AR234" s="45" t="str">
        <f t="shared" si="9"/>
        <v>#DIV/0!</v>
      </c>
      <c r="AT234" s="45">
        <f t="shared" si="10"/>
        <v>0</v>
      </c>
      <c r="AU234" s="45">
        <f t="shared" si="11"/>
        <v>0</v>
      </c>
      <c r="AV234" s="45" t="str">
        <f t="shared" si="12"/>
        <v>#DIV/0!</v>
      </c>
      <c r="AX234" s="45">
        <f t="shared" si="13"/>
        <v>0</v>
      </c>
      <c r="AY234" s="45">
        <f t="shared" si="14"/>
        <v>0</v>
      </c>
      <c r="AZ234" s="45" t="str">
        <f t="shared" si="15"/>
        <v>#DIV/0!</v>
      </c>
      <c r="BB234" s="45">
        <f t="shared" si="16"/>
        <v>0</v>
      </c>
      <c r="BC234" s="45">
        <f t="shared" si="17"/>
        <v>0</v>
      </c>
      <c r="BD234" s="45" t="str">
        <f t="shared" si="18"/>
        <v>#DIV/0!</v>
      </c>
    </row>
    <row r="235" ht="15.75" customHeight="1">
      <c r="A235" s="95"/>
      <c r="B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</row>
    <row r="236" ht="23.25" customHeight="1">
      <c r="A236" s="95"/>
      <c r="B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AK236" s="120" t="s">
        <v>116</v>
      </c>
      <c r="AL236" s="121"/>
      <c r="AM236" s="122"/>
      <c r="AN236" s="123">
        <f>COUNT(AN11:AN234)</f>
        <v>0</v>
      </c>
      <c r="AO236" s="124"/>
      <c r="AP236" s="125"/>
      <c r="AQ236" s="126"/>
      <c r="AR236" s="123">
        <f>COUNT(AR11:AR234)</f>
        <v>0</v>
      </c>
      <c r="AS236" s="124"/>
      <c r="AT236" s="125"/>
      <c r="AU236" s="126"/>
      <c r="AV236" s="123">
        <f>COUNT(AV11:AV234)</f>
        <v>0</v>
      </c>
      <c r="AW236" s="124"/>
      <c r="AX236" s="125"/>
      <c r="AY236" s="126"/>
      <c r="AZ236" s="123">
        <f>COUNT(AZ11:AZ234)</f>
        <v>0</v>
      </c>
      <c r="BA236" s="124"/>
      <c r="BB236" s="125"/>
      <c r="BC236" s="126"/>
      <c r="BD236" s="123">
        <f>COUNT(BD11:BD234)</f>
        <v>0</v>
      </c>
    </row>
    <row r="237" ht="31.5" customHeight="1">
      <c r="A237" s="95"/>
      <c r="B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AK237" s="170" t="s">
        <v>128</v>
      </c>
      <c r="AL237" s="129"/>
      <c r="AM237" s="103"/>
      <c r="AN237" s="130">
        <f>COUNTIF(AN11:AN234,"&gt;="&amp;'set target form'!$E$14)</f>
        <v>0</v>
      </c>
      <c r="AO237" s="131"/>
      <c r="AP237" s="132"/>
      <c r="AQ237" s="133"/>
      <c r="AR237" s="130">
        <f>COUNTIF(AR11:AR234,"&gt;="&amp;'set target form'!$E$14)</f>
        <v>0</v>
      </c>
      <c r="AS237" s="131"/>
      <c r="AT237" s="132"/>
      <c r="AU237" s="133"/>
      <c r="AV237" s="130">
        <f>COUNTIF(AV11:AV234,"&gt;="&amp;'set target form'!$E$14)</f>
        <v>0</v>
      </c>
      <c r="AW237" s="131"/>
      <c r="AX237" s="132"/>
      <c r="AY237" s="133"/>
      <c r="AZ237" s="130">
        <f>COUNTIF(AZ11:AZ234,"&gt;="&amp;'set target form'!$E$14)</f>
        <v>0</v>
      </c>
      <c r="BA237" s="131"/>
      <c r="BB237" s="132"/>
      <c r="BC237" s="133"/>
      <c r="BD237" s="130">
        <f>COUNTIF(BD11:BD234,"&gt;="&amp;'set target form'!$E$14)</f>
        <v>0</v>
      </c>
    </row>
    <row r="238" ht="75.0" customHeight="1">
      <c r="A238" s="95"/>
      <c r="B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AK238" s="171" t="s">
        <v>129</v>
      </c>
      <c r="AL238" s="129"/>
      <c r="AM238" s="172"/>
      <c r="AN238" s="173" t="str">
        <f>AN237/AN236*100</f>
        <v>#DIV/0!</v>
      </c>
      <c r="AO238" s="174"/>
      <c r="AP238" s="45"/>
      <c r="AQ238" s="172"/>
      <c r="AR238" s="173" t="str">
        <f>AR237/AR236*100</f>
        <v>#DIV/0!</v>
      </c>
      <c r="AS238" s="174"/>
      <c r="AT238" s="45"/>
      <c r="AU238" s="172"/>
      <c r="AV238" s="173" t="str">
        <f>AV237/AV236*100</f>
        <v>#DIV/0!</v>
      </c>
      <c r="AW238" s="174"/>
      <c r="AX238" s="45"/>
      <c r="AY238" s="172"/>
      <c r="AZ238" s="173" t="str">
        <f>AZ237/AZ236*100</f>
        <v>#DIV/0!</v>
      </c>
      <c r="BA238" s="174"/>
      <c r="BB238" s="45"/>
      <c r="BC238" s="172"/>
      <c r="BD238" s="173" t="str">
        <f>BD237/BD236*100</f>
        <v>#DIV/0!</v>
      </c>
    </row>
    <row r="239" ht="15.75" customHeight="1">
      <c r="A239" s="95"/>
      <c r="B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</row>
    <row r="240" ht="15.75" customHeight="1">
      <c r="A240" s="95"/>
      <c r="B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</row>
    <row r="241" ht="15.75" customHeight="1">
      <c r="A241" s="95"/>
      <c r="B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</row>
    <row r="242" ht="15.75" customHeight="1">
      <c r="A242" s="95"/>
      <c r="B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</row>
    <row r="243" ht="15.75" customHeight="1">
      <c r="A243" s="95"/>
      <c r="B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</row>
    <row r="244" ht="15.75" customHeight="1">
      <c r="A244" s="95"/>
      <c r="B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</row>
    <row r="245" ht="15.75" customHeight="1">
      <c r="A245" s="95"/>
      <c r="B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</row>
    <row r="246" ht="15.75" customHeight="1">
      <c r="A246" s="95"/>
      <c r="B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</row>
    <row r="247" ht="15.75" customHeight="1">
      <c r="A247" s="95"/>
      <c r="B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AK247" s="142" t="s">
        <v>130</v>
      </c>
      <c r="AL247" s="143"/>
      <c r="AM247" s="143"/>
      <c r="AN247" s="143"/>
      <c r="AO247" s="143"/>
      <c r="AP247" s="144"/>
    </row>
    <row r="248" ht="15.75" customHeight="1">
      <c r="A248" s="95"/>
      <c r="B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AK248" s="145" t="s">
        <v>131</v>
      </c>
      <c r="AL248" s="146" t="str">
        <f>'set target form'!E9</f>
        <v>CO1</v>
      </c>
      <c r="AM248" s="146" t="str">
        <f>'set target form'!F9</f>
        <v>CO2</v>
      </c>
      <c r="AN248" s="146" t="str">
        <f>'set target form'!G9</f>
        <v>CO3</v>
      </c>
      <c r="AO248" s="146" t="str">
        <f>'set target form'!H9</f>
        <v>CO4</v>
      </c>
      <c r="AP248" s="147" t="str">
        <f>'set target form'!I9</f>
        <v>CO5</v>
      </c>
    </row>
    <row r="249" ht="15.75" customHeight="1">
      <c r="A249" s="95"/>
      <c r="B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AK249" s="148" t="s">
        <v>125</v>
      </c>
      <c r="AL249" s="149">
        <f>SUMIFS($D$8:$M$8,$D$7:$M$7,1)</f>
        <v>4</v>
      </c>
      <c r="AM249" s="149">
        <f>SUMIFS($D$8:$M$8,$D$7:$M$7,2)</f>
        <v>4</v>
      </c>
      <c r="AN249" s="149">
        <f>SUMIFS($D$8:$M$8,$D$7:$M$7,3)</f>
        <v>2</v>
      </c>
      <c r="AO249" s="149">
        <f>SUMIFS($D$8:$M$8,$D$7:$M$7,4)</f>
        <v>0</v>
      </c>
      <c r="AP249" s="150">
        <f>SUMIFS($D$8:$M$8,$D$7:$M$7,5)</f>
        <v>0</v>
      </c>
    </row>
    <row r="250" ht="15.75" customHeight="1">
      <c r="A250" s="95"/>
      <c r="B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AK250" s="151" t="s">
        <v>126</v>
      </c>
      <c r="AL250" s="152">
        <f>SUMIFS($O$8:$W$8,$O$7:$W$7,1)</f>
        <v>0</v>
      </c>
      <c r="AM250" s="152">
        <f>SUMIFS($O$8:$W$8,$O$7:$W$7,2)</f>
        <v>0</v>
      </c>
      <c r="AN250" s="152">
        <f>SUMIFS($O$8:$W$8,$O$7:$W$7,3)</f>
        <v>2</v>
      </c>
      <c r="AO250" s="152">
        <f>SUMIFS($O$8:$W$8,$O$7:$W$7,4)</f>
        <v>4</v>
      </c>
      <c r="AP250" s="153">
        <f>SUMIFS($O$8:$X$8,$O$7:$X$7,5)</f>
        <v>4</v>
      </c>
    </row>
    <row r="251" ht="15.75" customHeight="1">
      <c r="A251" s="95"/>
      <c r="B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AK251" s="154" t="s">
        <v>127</v>
      </c>
      <c r="AL251" s="155">
        <f>SUMIFS($Y$8:$AI$8,$Y$7:$AI$7,1)</f>
        <v>2</v>
      </c>
      <c r="AM251" s="155">
        <f>SUMIFS($Y$8:$AI$8,$Y$7:$AI$7,2)</f>
        <v>2</v>
      </c>
      <c r="AN251" s="155">
        <f>SUMIFS($Y$8:$AI$8,$Y$7:$AI$7,3)</f>
        <v>2</v>
      </c>
      <c r="AO251" s="155">
        <f>SUMIFS($Y$8:$AI$8,$Y$7:$AI$7,4)</f>
        <v>2</v>
      </c>
      <c r="AP251" s="156">
        <f>SUMIFS($Y$8:$AI$8,$Y$7:$AI$7,5)</f>
        <v>2</v>
      </c>
    </row>
    <row r="252" ht="15.75" customHeight="1">
      <c r="A252" s="95"/>
      <c r="B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</row>
    <row r="253" ht="15.75" customHeight="1">
      <c r="A253" s="95"/>
      <c r="B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</row>
    <row r="254" ht="15.75" customHeight="1">
      <c r="A254" s="95"/>
      <c r="B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</row>
    <row r="255" ht="15.75" customHeight="1">
      <c r="A255" s="95"/>
      <c r="B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</row>
    <row r="256" ht="15.75" customHeight="1">
      <c r="A256" s="95"/>
      <c r="B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</row>
    <row r="257" ht="15.75" customHeight="1">
      <c r="A257" s="95"/>
      <c r="B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</row>
    <row r="258" ht="15.75" customHeight="1">
      <c r="A258" s="95"/>
      <c r="B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</row>
    <row r="259" ht="15.75" customHeight="1">
      <c r="A259" s="95"/>
      <c r="B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</row>
    <row r="260" ht="15.75" customHeight="1">
      <c r="A260" s="95"/>
      <c r="B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</row>
    <row r="261" ht="15.75" customHeight="1">
      <c r="A261" s="95"/>
      <c r="B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</row>
    <row r="262" ht="15.75" customHeight="1">
      <c r="A262" s="95"/>
      <c r="B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</row>
    <row r="263" ht="15.75" customHeight="1">
      <c r="A263" s="95"/>
      <c r="B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</row>
    <row r="264" ht="15.75" customHeight="1">
      <c r="A264" s="95"/>
      <c r="B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</row>
    <row r="265" ht="15.75" customHeight="1">
      <c r="A265" s="95"/>
      <c r="B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</row>
    <row r="266" ht="15.75" customHeight="1">
      <c r="A266" s="95"/>
      <c r="B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</row>
    <row r="267" ht="15.75" customHeight="1">
      <c r="A267" s="95"/>
      <c r="B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</row>
    <row r="268" ht="15.75" customHeight="1">
      <c r="A268" s="95"/>
      <c r="B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</row>
    <row r="269" ht="15.75" customHeight="1">
      <c r="A269" s="95"/>
      <c r="B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</row>
    <row r="270" ht="15.75" customHeight="1">
      <c r="A270" s="95"/>
      <c r="B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</row>
    <row r="271" ht="15.75" customHeight="1">
      <c r="A271" s="95"/>
      <c r="B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</row>
    <row r="272" ht="15.75" customHeight="1">
      <c r="A272" s="95"/>
      <c r="B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</row>
    <row r="273" ht="15.75" customHeight="1">
      <c r="A273" s="95"/>
      <c r="B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</row>
    <row r="274" ht="15.75" customHeight="1">
      <c r="A274" s="95"/>
      <c r="B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</row>
    <row r="275" ht="15.75" customHeight="1">
      <c r="A275" s="95"/>
      <c r="B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</row>
    <row r="276" ht="15.75" customHeight="1">
      <c r="A276" s="95"/>
      <c r="B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</row>
    <row r="277" ht="15.75" customHeight="1">
      <c r="A277" s="95"/>
      <c r="B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</row>
    <row r="278" ht="15.75" customHeight="1">
      <c r="A278" s="95"/>
      <c r="B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</row>
    <row r="279" ht="15.75" customHeight="1">
      <c r="A279" s="95"/>
      <c r="B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</row>
    <row r="280" ht="15.75" customHeight="1">
      <c r="A280" s="95"/>
      <c r="B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</row>
    <row r="281" ht="15.75" customHeight="1">
      <c r="A281" s="95"/>
      <c r="B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</row>
    <row r="282" ht="15.75" customHeight="1">
      <c r="A282" s="95"/>
      <c r="B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</row>
    <row r="283" ht="15.75" customHeight="1">
      <c r="A283" s="95"/>
      <c r="B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</row>
    <row r="284" ht="15.75" customHeight="1">
      <c r="A284" s="95"/>
      <c r="B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</row>
    <row r="285" ht="15.75" customHeight="1">
      <c r="A285" s="95"/>
      <c r="B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</row>
    <row r="286" ht="15.75" customHeight="1">
      <c r="A286" s="95"/>
      <c r="B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</row>
    <row r="287" ht="15.75" customHeight="1">
      <c r="A287" s="95"/>
      <c r="B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</row>
    <row r="288" ht="15.75" customHeight="1">
      <c r="A288" s="95"/>
      <c r="B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</row>
    <row r="289" ht="15.75" customHeight="1">
      <c r="A289" s="95"/>
      <c r="B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</row>
    <row r="290" ht="15.75" customHeight="1">
      <c r="A290" s="95"/>
      <c r="B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</row>
    <row r="291" ht="15.75" customHeight="1">
      <c r="A291" s="95"/>
      <c r="B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</row>
    <row r="292" ht="15.75" customHeight="1">
      <c r="A292" s="95"/>
      <c r="B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</row>
    <row r="293" ht="15.75" customHeight="1">
      <c r="A293" s="95"/>
      <c r="B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</row>
    <row r="294" ht="15.75" customHeight="1">
      <c r="A294" s="95"/>
      <c r="B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</row>
    <row r="295" ht="15.75" customHeight="1">
      <c r="A295" s="95"/>
      <c r="B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</row>
    <row r="296" ht="15.75" customHeight="1">
      <c r="A296" s="95"/>
      <c r="B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</row>
    <row r="297" ht="15.75" customHeight="1">
      <c r="A297" s="95"/>
      <c r="B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</row>
    <row r="298" ht="15.75" customHeight="1">
      <c r="A298" s="95"/>
      <c r="B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</row>
    <row r="299" ht="15.75" customHeight="1">
      <c r="A299" s="95"/>
      <c r="B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</row>
    <row r="300" ht="15.75" customHeight="1">
      <c r="A300" s="95"/>
      <c r="B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</row>
    <row r="301" ht="15.75" customHeight="1">
      <c r="A301" s="95"/>
      <c r="B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</row>
    <row r="302" ht="15.75" customHeight="1">
      <c r="A302" s="95"/>
      <c r="B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</row>
    <row r="303" ht="15.75" customHeight="1">
      <c r="A303" s="95"/>
      <c r="B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</row>
    <row r="304" ht="15.75" customHeight="1">
      <c r="A304" s="95"/>
      <c r="B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</row>
    <row r="305" ht="15.75" customHeight="1">
      <c r="A305" s="95"/>
      <c r="B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</row>
    <row r="306" ht="15.75" customHeight="1">
      <c r="A306" s="95"/>
      <c r="B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</row>
    <row r="307" ht="15.75" customHeight="1">
      <c r="A307" s="95"/>
      <c r="B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</row>
    <row r="308" ht="15.75" customHeight="1">
      <c r="A308" s="95"/>
      <c r="B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</row>
    <row r="309" ht="15.75" customHeight="1">
      <c r="A309" s="95"/>
      <c r="B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</row>
    <row r="310" ht="15.75" customHeight="1">
      <c r="A310" s="95"/>
      <c r="B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</row>
    <row r="311" ht="15.75" customHeight="1">
      <c r="A311" s="95"/>
      <c r="B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</row>
    <row r="312" ht="15.75" customHeight="1">
      <c r="A312" s="95"/>
      <c r="B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</row>
    <row r="313" ht="15.75" customHeight="1">
      <c r="A313" s="95"/>
      <c r="B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</row>
    <row r="314" ht="15.75" customHeight="1">
      <c r="A314" s="95"/>
      <c r="B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</row>
    <row r="315" ht="15.75" customHeight="1">
      <c r="A315" s="95"/>
      <c r="B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</row>
    <row r="316" ht="15.75" customHeight="1">
      <c r="A316" s="95"/>
      <c r="B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</row>
    <row r="317" ht="15.75" customHeight="1">
      <c r="A317" s="95"/>
      <c r="B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</row>
    <row r="318" ht="15.75" customHeight="1">
      <c r="A318" s="95"/>
      <c r="B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</row>
    <row r="319" ht="15.75" customHeight="1">
      <c r="A319" s="95"/>
      <c r="B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</row>
    <row r="320" ht="15.75" customHeight="1">
      <c r="A320" s="95"/>
      <c r="B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</row>
    <row r="321" ht="15.75" customHeight="1">
      <c r="A321" s="95"/>
      <c r="B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</row>
    <row r="322" ht="15.75" customHeight="1">
      <c r="A322" s="95"/>
      <c r="B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</row>
    <row r="323" ht="15.75" customHeight="1">
      <c r="A323" s="95"/>
      <c r="B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</row>
    <row r="324" ht="15.75" customHeight="1">
      <c r="A324" s="95"/>
      <c r="B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</row>
    <row r="325" ht="15.75" customHeight="1">
      <c r="A325" s="95"/>
      <c r="B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</row>
    <row r="326" ht="15.75" customHeight="1">
      <c r="A326" s="95"/>
      <c r="B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</row>
    <row r="327" ht="15.75" customHeight="1">
      <c r="A327" s="95"/>
      <c r="B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</row>
    <row r="328" ht="15.75" customHeight="1">
      <c r="A328" s="95"/>
      <c r="B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</row>
    <row r="329" ht="15.75" customHeight="1">
      <c r="A329" s="95"/>
      <c r="B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</row>
    <row r="330" ht="15.75" customHeight="1">
      <c r="A330" s="95"/>
      <c r="B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</row>
    <row r="331" ht="15.75" customHeight="1">
      <c r="A331" s="95"/>
      <c r="B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</row>
    <row r="332" ht="15.75" customHeight="1">
      <c r="A332" s="95"/>
      <c r="B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</row>
    <row r="333" ht="15.75" customHeight="1">
      <c r="A333" s="95"/>
      <c r="B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</row>
    <row r="334" ht="15.75" customHeight="1">
      <c r="A334" s="95"/>
      <c r="B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</row>
    <row r="335" ht="15.75" customHeight="1">
      <c r="A335" s="95"/>
      <c r="B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</row>
    <row r="336" ht="15.75" customHeight="1">
      <c r="A336" s="95"/>
      <c r="B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</row>
    <row r="337" ht="15.75" customHeight="1">
      <c r="A337" s="95"/>
      <c r="B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</row>
    <row r="338" ht="15.75" customHeight="1">
      <c r="A338" s="95"/>
      <c r="B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</row>
    <row r="339" ht="15.75" customHeight="1">
      <c r="A339" s="95"/>
      <c r="B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</row>
    <row r="340" ht="15.75" customHeight="1">
      <c r="A340" s="95"/>
      <c r="B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</row>
    <row r="341" ht="15.75" customHeight="1">
      <c r="A341" s="95"/>
      <c r="B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</row>
    <row r="342" ht="15.75" customHeight="1">
      <c r="A342" s="95"/>
      <c r="B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</row>
    <row r="343" ht="15.75" customHeight="1">
      <c r="A343" s="95"/>
      <c r="B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</row>
    <row r="344" ht="15.75" customHeight="1">
      <c r="A344" s="95"/>
      <c r="B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</row>
    <row r="345" ht="15.75" customHeight="1">
      <c r="A345" s="95"/>
      <c r="B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</row>
    <row r="346" ht="15.75" customHeight="1">
      <c r="A346" s="95"/>
      <c r="B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</row>
    <row r="347" ht="15.75" customHeight="1">
      <c r="A347" s="95"/>
      <c r="B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</row>
    <row r="348" ht="15.75" customHeight="1">
      <c r="A348" s="95"/>
      <c r="B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</row>
    <row r="349" ht="15.75" customHeight="1">
      <c r="A349" s="95"/>
      <c r="B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</row>
    <row r="350" ht="15.75" customHeight="1">
      <c r="A350" s="95"/>
      <c r="B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</row>
    <row r="351" ht="15.75" customHeight="1">
      <c r="A351" s="95"/>
      <c r="B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</row>
    <row r="352" ht="15.75" customHeight="1">
      <c r="A352" s="95"/>
      <c r="B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</row>
    <row r="353" ht="15.75" customHeight="1">
      <c r="A353" s="95"/>
      <c r="B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</row>
    <row r="354" ht="15.75" customHeight="1">
      <c r="A354" s="95"/>
      <c r="B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</row>
    <row r="355" ht="15.75" customHeight="1">
      <c r="A355" s="95"/>
      <c r="B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</row>
    <row r="356" ht="15.75" customHeight="1">
      <c r="A356" s="95"/>
      <c r="B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</row>
    <row r="357" ht="15.75" customHeight="1">
      <c r="A357" s="95"/>
      <c r="B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</row>
    <row r="358" ht="15.75" customHeight="1">
      <c r="A358" s="95"/>
      <c r="B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</row>
    <row r="359" ht="15.75" customHeight="1">
      <c r="A359" s="95"/>
      <c r="B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</row>
    <row r="360" ht="15.75" customHeight="1">
      <c r="A360" s="95"/>
      <c r="B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</row>
    <row r="361" ht="15.75" customHeight="1">
      <c r="A361" s="95"/>
      <c r="B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</row>
    <row r="362" ht="15.75" customHeight="1">
      <c r="A362" s="95"/>
      <c r="B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</row>
    <row r="363" ht="15.75" customHeight="1">
      <c r="A363" s="95"/>
      <c r="B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</row>
    <row r="364" ht="15.75" customHeight="1">
      <c r="A364" s="95"/>
      <c r="B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</row>
    <row r="365" ht="15.75" customHeight="1">
      <c r="A365" s="95"/>
      <c r="B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</row>
    <row r="366" ht="15.75" customHeight="1">
      <c r="A366" s="95"/>
      <c r="B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</row>
    <row r="367" ht="15.75" customHeight="1">
      <c r="A367" s="95"/>
      <c r="B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</row>
    <row r="368" ht="15.75" customHeight="1">
      <c r="A368" s="95"/>
      <c r="B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</row>
    <row r="369" ht="15.75" customHeight="1">
      <c r="A369" s="95"/>
      <c r="B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</row>
    <row r="370" ht="15.75" customHeight="1">
      <c r="A370" s="95"/>
      <c r="B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</row>
    <row r="371" ht="15.75" customHeight="1">
      <c r="A371" s="95"/>
      <c r="B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</row>
    <row r="372" ht="15.75" customHeight="1">
      <c r="A372" s="95"/>
      <c r="B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</row>
    <row r="373" ht="15.75" customHeight="1">
      <c r="A373" s="95"/>
      <c r="B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</row>
    <row r="374" ht="15.75" customHeight="1">
      <c r="A374" s="95"/>
      <c r="B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</row>
    <row r="375" ht="15.75" customHeight="1">
      <c r="A375" s="95"/>
      <c r="B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</row>
    <row r="376" ht="15.75" customHeight="1">
      <c r="A376" s="95"/>
      <c r="B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</row>
    <row r="377" ht="15.75" customHeight="1">
      <c r="A377" s="95"/>
      <c r="B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</row>
    <row r="378" ht="15.75" customHeight="1">
      <c r="A378" s="95"/>
      <c r="B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</row>
    <row r="379" ht="15.75" customHeight="1">
      <c r="A379" s="95"/>
      <c r="B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</row>
    <row r="380" ht="15.75" customHeight="1">
      <c r="A380" s="95"/>
      <c r="B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</row>
    <row r="381" ht="15.75" customHeight="1">
      <c r="A381" s="95"/>
      <c r="B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</row>
    <row r="382" ht="15.75" customHeight="1">
      <c r="A382" s="95"/>
      <c r="B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</row>
    <row r="383" ht="15.75" customHeight="1">
      <c r="A383" s="95"/>
      <c r="B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</row>
    <row r="384" ht="15.75" customHeight="1">
      <c r="A384" s="95"/>
      <c r="B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</row>
    <row r="385" ht="15.75" customHeight="1">
      <c r="A385" s="95"/>
      <c r="B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</row>
    <row r="386" ht="15.75" customHeight="1">
      <c r="A386" s="95"/>
      <c r="B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</row>
    <row r="387" ht="15.75" customHeight="1">
      <c r="A387" s="95"/>
      <c r="B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</row>
    <row r="388" ht="15.75" customHeight="1">
      <c r="A388" s="95"/>
      <c r="B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</row>
    <row r="389" ht="15.75" customHeight="1">
      <c r="A389" s="95"/>
      <c r="B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</row>
    <row r="390" ht="15.75" customHeight="1">
      <c r="A390" s="95"/>
      <c r="B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</row>
    <row r="391" ht="15.75" customHeight="1">
      <c r="A391" s="95"/>
      <c r="B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</row>
    <row r="392" ht="15.75" customHeight="1">
      <c r="A392" s="95"/>
      <c r="B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</row>
    <row r="393" ht="15.75" customHeight="1">
      <c r="A393" s="95"/>
      <c r="B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</row>
    <row r="394" ht="15.75" customHeight="1">
      <c r="A394" s="95"/>
      <c r="B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</row>
    <row r="395" ht="15.75" customHeight="1">
      <c r="A395" s="95"/>
      <c r="B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</row>
    <row r="396" ht="15.75" customHeight="1">
      <c r="A396" s="95"/>
      <c r="B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</row>
    <row r="397" ht="15.75" customHeight="1">
      <c r="A397" s="95"/>
      <c r="B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</row>
    <row r="398" ht="15.75" customHeight="1">
      <c r="A398" s="95"/>
      <c r="B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</row>
    <row r="399" ht="15.75" customHeight="1">
      <c r="A399" s="95"/>
      <c r="B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</row>
    <row r="400" ht="15.75" customHeight="1">
      <c r="A400" s="95"/>
      <c r="B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</row>
    <row r="401" ht="15.75" customHeight="1">
      <c r="A401" s="95"/>
      <c r="B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</row>
    <row r="402" ht="15.75" customHeight="1">
      <c r="A402" s="95"/>
      <c r="B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</row>
    <row r="403" ht="15.75" customHeight="1">
      <c r="A403" s="95"/>
      <c r="B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</row>
    <row r="404" ht="15.75" customHeight="1">
      <c r="A404" s="95"/>
      <c r="B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</row>
    <row r="405" ht="15.75" customHeight="1">
      <c r="A405" s="95"/>
      <c r="B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</row>
    <row r="406" ht="15.75" customHeight="1">
      <c r="A406" s="95"/>
      <c r="B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</row>
    <row r="407" ht="15.75" customHeight="1">
      <c r="A407" s="95"/>
      <c r="B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</row>
    <row r="408" ht="15.75" customHeight="1">
      <c r="A408" s="95"/>
      <c r="B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</row>
    <row r="409" ht="15.75" customHeight="1">
      <c r="A409" s="95"/>
      <c r="B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</row>
    <row r="410" ht="15.75" customHeight="1">
      <c r="A410" s="95"/>
      <c r="B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</row>
    <row r="411" ht="15.75" customHeight="1">
      <c r="A411" s="95"/>
      <c r="B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</row>
    <row r="412" ht="15.75" customHeight="1">
      <c r="A412" s="95"/>
      <c r="B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</row>
    <row r="413" ht="15.75" customHeight="1">
      <c r="A413" s="95"/>
      <c r="B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</row>
    <row r="414" ht="15.75" customHeight="1">
      <c r="A414" s="95"/>
      <c r="B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</row>
    <row r="415" ht="15.75" customHeight="1">
      <c r="A415" s="95"/>
      <c r="B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</row>
    <row r="416" ht="15.75" customHeight="1">
      <c r="A416" s="95"/>
      <c r="B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</row>
    <row r="417" ht="15.75" customHeight="1">
      <c r="A417" s="95"/>
      <c r="B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</row>
    <row r="418" ht="15.75" customHeight="1">
      <c r="A418" s="95"/>
      <c r="B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</row>
    <row r="419" ht="15.75" customHeight="1">
      <c r="A419" s="95"/>
      <c r="B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</row>
    <row r="420" ht="15.75" customHeight="1">
      <c r="A420" s="95"/>
      <c r="B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</row>
    <row r="421" ht="15.75" customHeight="1">
      <c r="A421" s="95"/>
      <c r="B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</row>
    <row r="422" ht="15.75" customHeight="1">
      <c r="A422" s="95"/>
      <c r="B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</row>
    <row r="423" ht="15.75" customHeight="1">
      <c r="A423" s="95"/>
      <c r="B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</row>
    <row r="424" ht="15.75" customHeight="1">
      <c r="A424" s="95"/>
      <c r="B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</row>
    <row r="425" ht="15.75" customHeight="1">
      <c r="A425" s="95"/>
      <c r="B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</row>
    <row r="426" ht="15.75" customHeight="1">
      <c r="A426" s="95"/>
      <c r="B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</row>
    <row r="427" ht="15.75" customHeight="1">
      <c r="A427" s="95"/>
      <c r="B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</row>
    <row r="428" ht="15.75" customHeight="1">
      <c r="A428" s="95"/>
      <c r="B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</row>
    <row r="429" ht="15.75" customHeight="1">
      <c r="A429" s="95"/>
      <c r="B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</row>
    <row r="430" ht="15.75" customHeight="1">
      <c r="A430" s="95"/>
      <c r="B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</row>
    <row r="431" ht="15.75" customHeight="1">
      <c r="A431" s="95"/>
      <c r="B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</row>
    <row r="432" ht="15.75" customHeight="1">
      <c r="A432" s="95"/>
      <c r="B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</row>
    <row r="433" ht="15.75" customHeight="1">
      <c r="A433" s="95"/>
      <c r="B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</row>
    <row r="434" ht="15.75" customHeight="1">
      <c r="A434" s="95"/>
      <c r="B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</row>
    <row r="435" ht="15.75" customHeight="1">
      <c r="A435" s="95"/>
      <c r="B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</row>
    <row r="436" ht="15.75" customHeight="1">
      <c r="A436" s="95"/>
      <c r="B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</row>
    <row r="437" ht="15.75" customHeight="1">
      <c r="A437" s="95"/>
      <c r="B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</row>
    <row r="438" ht="15.75" customHeight="1">
      <c r="A438" s="95"/>
      <c r="B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</row>
    <row r="439" ht="15.75" customHeight="1">
      <c r="A439" s="95"/>
      <c r="B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</row>
    <row r="440" ht="15.75" customHeight="1">
      <c r="A440" s="95"/>
      <c r="B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</row>
    <row r="441" ht="15.75" customHeight="1">
      <c r="A441" s="95"/>
      <c r="B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</row>
    <row r="442" ht="15.75" customHeight="1">
      <c r="A442" s="95"/>
      <c r="B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</row>
    <row r="443" ht="15.75" customHeight="1">
      <c r="A443" s="95"/>
      <c r="B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</row>
    <row r="444" ht="15.75" customHeight="1">
      <c r="A444" s="95"/>
      <c r="B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</row>
    <row r="445" ht="15.75" customHeight="1">
      <c r="A445" s="95"/>
      <c r="B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</row>
    <row r="446" ht="15.75" customHeight="1">
      <c r="A446" s="95"/>
      <c r="B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</row>
    <row r="447" ht="15.75" customHeight="1">
      <c r="A447" s="95"/>
      <c r="B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</row>
    <row r="448" ht="15.75" customHeight="1">
      <c r="A448" s="95"/>
      <c r="B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</row>
    <row r="449" ht="15.75" customHeight="1">
      <c r="A449" s="95"/>
      <c r="B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</row>
    <row r="450" ht="15.75" customHeight="1">
      <c r="A450" s="95"/>
      <c r="B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</row>
    <row r="451" ht="15.75" customHeight="1">
      <c r="A451" s="95"/>
      <c r="B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</row>
    <row r="452" ht="15.75" customHeight="1">
      <c r="A452" s="95"/>
      <c r="B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</row>
    <row r="453" ht="15.75" customHeight="1">
      <c r="A453" s="95"/>
      <c r="B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</row>
    <row r="454" ht="15.75" customHeight="1">
      <c r="A454" s="95"/>
      <c r="B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</row>
    <row r="455" ht="15.75" customHeight="1">
      <c r="A455" s="95"/>
      <c r="B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</row>
    <row r="456" ht="15.75" customHeight="1">
      <c r="A456" s="95"/>
      <c r="B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</row>
    <row r="457" ht="15.75" customHeight="1">
      <c r="A457" s="95"/>
      <c r="B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</row>
    <row r="458" ht="15.75" customHeight="1">
      <c r="A458" s="95"/>
      <c r="B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</row>
    <row r="459" ht="15.75" customHeight="1">
      <c r="A459" s="95"/>
      <c r="B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</row>
    <row r="460" ht="15.75" customHeight="1">
      <c r="A460" s="95"/>
      <c r="B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</row>
    <row r="461" ht="15.75" customHeight="1">
      <c r="A461" s="95"/>
      <c r="B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</row>
    <row r="462" ht="15.75" customHeight="1">
      <c r="A462" s="95"/>
      <c r="B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</row>
    <row r="463" ht="15.75" customHeight="1">
      <c r="A463" s="95"/>
      <c r="B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</row>
    <row r="464" ht="15.75" customHeight="1">
      <c r="A464" s="95"/>
      <c r="B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</row>
    <row r="465" ht="15.75" customHeight="1">
      <c r="A465" s="95"/>
      <c r="B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</row>
    <row r="466" ht="15.75" customHeight="1">
      <c r="A466" s="95"/>
      <c r="B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</row>
    <row r="467" ht="15.75" customHeight="1">
      <c r="A467" s="95"/>
      <c r="B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</row>
    <row r="468" ht="15.75" customHeight="1">
      <c r="A468" s="95"/>
      <c r="B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</row>
    <row r="469" ht="15.75" customHeight="1">
      <c r="A469" s="95"/>
      <c r="B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</row>
    <row r="470" ht="15.75" customHeight="1">
      <c r="A470" s="95"/>
      <c r="B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</row>
    <row r="471" ht="15.75" customHeight="1">
      <c r="A471" s="95"/>
      <c r="B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</row>
    <row r="472" ht="15.75" customHeight="1">
      <c r="A472" s="95"/>
      <c r="B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</row>
    <row r="473" ht="15.75" customHeight="1">
      <c r="A473" s="95"/>
      <c r="B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</row>
    <row r="474" ht="15.75" customHeight="1">
      <c r="A474" s="95"/>
      <c r="B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</row>
    <row r="475" ht="15.75" customHeight="1">
      <c r="A475" s="95"/>
      <c r="B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</row>
    <row r="476" ht="15.75" customHeight="1">
      <c r="A476" s="95"/>
      <c r="B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</row>
    <row r="477" ht="15.75" customHeight="1">
      <c r="A477" s="95"/>
      <c r="B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</row>
    <row r="478" ht="15.75" customHeight="1">
      <c r="A478" s="95"/>
      <c r="B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</row>
    <row r="479" ht="15.75" customHeight="1">
      <c r="A479" s="95"/>
      <c r="B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</row>
    <row r="480" ht="15.75" customHeight="1">
      <c r="A480" s="95"/>
      <c r="B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</row>
    <row r="481" ht="15.75" customHeight="1">
      <c r="A481" s="95"/>
      <c r="B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</row>
    <row r="482" ht="15.75" customHeight="1">
      <c r="A482" s="95"/>
      <c r="B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</row>
    <row r="483" ht="15.75" customHeight="1">
      <c r="A483" s="95"/>
      <c r="B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</row>
    <row r="484" ht="15.75" customHeight="1">
      <c r="A484" s="95"/>
      <c r="B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</row>
    <row r="485" ht="15.75" customHeight="1">
      <c r="A485" s="95"/>
      <c r="B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</row>
    <row r="486" ht="15.75" customHeight="1">
      <c r="A486" s="95"/>
      <c r="B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</row>
    <row r="487" ht="15.75" customHeight="1">
      <c r="A487" s="95"/>
      <c r="B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</row>
    <row r="488" ht="15.75" customHeight="1">
      <c r="A488" s="95"/>
      <c r="B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</row>
    <row r="489" ht="15.75" customHeight="1">
      <c r="A489" s="95"/>
      <c r="B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</row>
    <row r="490" ht="15.75" customHeight="1">
      <c r="A490" s="95"/>
      <c r="B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</row>
    <row r="491" ht="15.75" customHeight="1">
      <c r="A491" s="95"/>
      <c r="B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</row>
    <row r="492" ht="15.75" customHeight="1">
      <c r="A492" s="95"/>
      <c r="B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</row>
    <row r="493" ht="15.75" customHeight="1">
      <c r="A493" s="95"/>
      <c r="B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</row>
    <row r="494" ht="15.75" customHeight="1">
      <c r="A494" s="95"/>
      <c r="B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</row>
    <row r="495" ht="15.75" customHeight="1">
      <c r="A495" s="95"/>
      <c r="B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</row>
    <row r="496" ht="15.75" customHeight="1">
      <c r="A496" s="95"/>
      <c r="B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</row>
    <row r="497" ht="15.75" customHeight="1">
      <c r="A497" s="95"/>
      <c r="B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</row>
    <row r="498" ht="15.75" customHeight="1">
      <c r="A498" s="95"/>
      <c r="B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</row>
    <row r="499" ht="15.75" customHeight="1">
      <c r="A499" s="95"/>
      <c r="B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</row>
    <row r="500" ht="15.75" customHeight="1">
      <c r="A500" s="95"/>
      <c r="B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</row>
    <row r="501" ht="15.75" customHeight="1">
      <c r="A501" s="95"/>
      <c r="B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</row>
    <row r="502" ht="15.75" customHeight="1">
      <c r="A502" s="95"/>
      <c r="B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</row>
    <row r="503" ht="15.75" customHeight="1">
      <c r="A503" s="95"/>
      <c r="B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</row>
    <row r="504" ht="15.75" customHeight="1">
      <c r="A504" s="95"/>
      <c r="B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</row>
    <row r="505" ht="15.75" customHeight="1">
      <c r="A505" s="95"/>
      <c r="B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</row>
    <row r="506" ht="15.75" customHeight="1">
      <c r="A506" s="95"/>
      <c r="B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</row>
    <row r="507" ht="15.75" customHeight="1">
      <c r="A507" s="95"/>
      <c r="B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</row>
    <row r="508" ht="15.75" customHeight="1">
      <c r="A508" s="95"/>
      <c r="B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</row>
    <row r="509" ht="15.75" customHeight="1">
      <c r="A509" s="95"/>
      <c r="B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</row>
    <row r="510" ht="15.75" customHeight="1">
      <c r="A510" s="95"/>
      <c r="B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</row>
    <row r="511" ht="15.75" customHeight="1">
      <c r="A511" s="95"/>
      <c r="B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</row>
    <row r="512" ht="15.75" customHeight="1">
      <c r="A512" s="95"/>
      <c r="B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</row>
    <row r="513" ht="15.75" customHeight="1">
      <c r="A513" s="95"/>
      <c r="B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</row>
    <row r="514" ht="15.75" customHeight="1">
      <c r="A514" s="95"/>
      <c r="B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</row>
    <row r="515" ht="15.75" customHeight="1">
      <c r="A515" s="95"/>
      <c r="B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</row>
    <row r="516" ht="15.75" customHeight="1">
      <c r="A516" s="95"/>
      <c r="B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</row>
    <row r="517" ht="15.75" customHeight="1">
      <c r="A517" s="95"/>
      <c r="B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</row>
    <row r="518" ht="15.75" customHeight="1">
      <c r="A518" s="95"/>
      <c r="B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</row>
    <row r="519" ht="15.75" customHeight="1">
      <c r="A519" s="95"/>
      <c r="B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</row>
    <row r="520" ht="15.75" customHeight="1">
      <c r="A520" s="95"/>
      <c r="B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</row>
    <row r="521" ht="15.75" customHeight="1">
      <c r="A521" s="95"/>
      <c r="B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</row>
    <row r="522" ht="15.75" customHeight="1">
      <c r="A522" s="95"/>
      <c r="B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</row>
    <row r="523" ht="15.75" customHeight="1">
      <c r="A523" s="95"/>
      <c r="B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</row>
    <row r="524" ht="15.75" customHeight="1">
      <c r="A524" s="95"/>
      <c r="B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</row>
    <row r="525" ht="15.75" customHeight="1">
      <c r="A525" s="95"/>
      <c r="B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</row>
    <row r="526" ht="15.75" customHeight="1">
      <c r="A526" s="95"/>
      <c r="B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</row>
    <row r="527" ht="15.75" customHeight="1">
      <c r="A527" s="95"/>
      <c r="B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</row>
    <row r="528" ht="15.75" customHeight="1">
      <c r="A528" s="95"/>
      <c r="B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</row>
    <row r="529" ht="15.75" customHeight="1">
      <c r="A529" s="95"/>
      <c r="B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</row>
    <row r="530" ht="15.75" customHeight="1">
      <c r="A530" s="95"/>
      <c r="B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</row>
    <row r="531" ht="15.75" customHeight="1">
      <c r="A531" s="95"/>
      <c r="B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</row>
    <row r="532" ht="15.75" customHeight="1">
      <c r="A532" s="95"/>
      <c r="B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</row>
    <row r="533" ht="15.75" customHeight="1">
      <c r="A533" s="95"/>
      <c r="B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</row>
    <row r="534" ht="15.75" customHeight="1">
      <c r="A534" s="95"/>
      <c r="B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</row>
    <row r="535" ht="15.75" customHeight="1">
      <c r="A535" s="95"/>
      <c r="B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</row>
    <row r="536" ht="15.75" customHeight="1">
      <c r="A536" s="95"/>
      <c r="B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</row>
    <row r="537" ht="15.75" customHeight="1">
      <c r="A537" s="95"/>
      <c r="B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</row>
    <row r="538" ht="15.75" customHeight="1">
      <c r="A538" s="95"/>
      <c r="B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</row>
    <row r="539" ht="15.75" customHeight="1">
      <c r="A539" s="95"/>
      <c r="B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</row>
    <row r="540" ht="15.75" customHeight="1">
      <c r="A540" s="95"/>
      <c r="B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</row>
    <row r="541" ht="15.75" customHeight="1">
      <c r="A541" s="95"/>
      <c r="B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</row>
    <row r="542" ht="15.75" customHeight="1">
      <c r="A542" s="95"/>
      <c r="B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</row>
    <row r="543" ht="15.75" customHeight="1">
      <c r="A543" s="95"/>
      <c r="B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</row>
    <row r="544" ht="15.75" customHeight="1">
      <c r="A544" s="95"/>
      <c r="B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</row>
    <row r="545" ht="15.75" customHeight="1">
      <c r="A545" s="95"/>
      <c r="B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</row>
    <row r="546" ht="15.75" customHeight="1">
      <c r="A546" s="95"/>
      <c r="B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</row>
    <row r="547" ht="15.75" customHeight="1">
      <c r="A547" s="95"/>
      <c r="B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</row>
    <row r="548" ht="15.75" customHeight="1">
      <c r="A548" s="95"/>
      <c r="B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</row>
    <row r="549" ht="15.75" customHeight="1">
      <c r="A549" s="95"/>
      <c r="B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</row>
    <row r="550" ht="15.75" customHeight="1">
      <c r="A550" s="95"/>
      <c r="B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</row>
    <row r="551" ht="15.75" customHeight="1">
      <c r="A551" s="95"/>
      <c r="B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</row>
    <row r="552" ht="15.75" customHeight="1">
      <c r="A552" s="95"/>
      <c r="B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</row>
    <row r="553" ht="15.75" customHeight="1">
      <c r="A553" s="95"/>
      <c r="B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</row>
    <row r="554" ht="15.75" customHeight="1">
      <c r="A554" s="95"/>
      <c r="B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</row>
    <row r="555" ht="15.75" customHeight="1">
      <c r="A555" s="95"/>
      <c r="B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</row>
    <row r="556" ht="15.75" customHeight="1">
      <c r="A556" s="95"/>
      <c r="B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</row>
    <row r="557" ht="15.75" customHeight="1">
      <c r="A557" s="95"/>
      <c r="B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</row>
    <row r="558" ht="15.75" customHeight="1">
      <c r="A558" s="95"/>
      <c r="B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</row>
    <row r="559" ht="15.75" customHeight="1">
      <c r="A559" s="95"/>
      <c r="B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</row>
    <row r="560" ht="15.75" customHeight="1">
      <c r="A560" s="95"/>
      <c r="B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</row>
    <row r="561" ht="15.75" customHeight="1">
      <c r="A561" s="95"/>
      <c r="B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</row>
    <row r="562" ht="15.75" customHeight="1">
      <c r="A562" s="95"/>
      <c r="B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</row>
    <row r="563" ht="15.75" customHeight="1">
      <c r="A563" s="95"/>
      <c r="B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</row>
    <row r="564" ht="15.75" customHeight="1">
      <c r="A564" s="95"/>
      <c r="B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</row>
    <row r="565" ht="15.75" customHeight="1">
      <c r="A565" s="95"/>
      <c r="B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</row>
    <row r="566" ht="15.75" customHeight="1">
      <c r="A566" s="95"/>
      <c r="B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</row>
    <row r="567" ht="15.75" customHeight="1">
      <c r="A567" s="95"/>
      <c r="B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</row>
    <row r="568" ht="15.75" customHeight="1">
      <c r="A568" s="95"/>
      <c r="B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</row>
    <row r="569" ht="15.75" customHeight="1">
      <c r="A569" s="95"/>
      <c r="B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</row>
    <row r="570" ht="15.75" customHeight="1">
      <c r="A570" s="95"/>
      <c r="B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</row>
    <row r="571" ht="15.75" customHeight="1">
      <c r="A571" s="95"/>
      <c r="B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</row>
    <row r="572" ht="15.75" customHeight="1">
      <c r="A572" s="95"/>
      <c r="B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</row>
    <row r="573" ht="15.75" customHeight="1">
      <c r="A573" s="95"/>
      <c r="B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</row>
    <row r="574" ht="15.75" customHeight="1">
      <c r="A574" s="95"/>
      <c r="B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</row>
    <row r="575" ht="15.75" customHeight="1">
      <c r="A575" s="95"/>
      <c r="B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</row>
    <row r="576" ht="15.75" customHeight="1">
      <c r="A576" s="95"/>
      <c r="B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</row>
    <row r="577" ht="15.75" customHeight="1">
      <c r="A577" s="95"/>
      <c r="B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</row>
    <row r="578" ht="15.75" customHeight="1">
      <c r="A578" s="95"/>
      <c r="B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</row>
    <row r="579" ht="15.75" customHeight="1">
      <c r="A579" s="95"/>
      <c r="B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</row>
    <row r="580" ht="15.75" customHeight="1">
      <c r="A580" s="95"/>
      <c r="B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</row>
    <row r="581" ht="15.75" customHeight="1">
      <c r="A581" s="95"/>
      <c r="B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</row>
    <row r="582" ht="15.75" customHeight="1">
      <c r="A582" s="95"/>
      <c r="B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</row>
    <row r="583" ht="15.75" customHeight="1">
      <c r="A583" s="95"/>
      <c r="B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</row>
    <row r="584" ht="15.75" customHeight="1">
      <c r="A584" s="95"/>
      <c r="B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</row>
    <row r="585" ht="15.75" customHeight="1">
      <c r="A585" s="95"/>
      <c r="B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</row>
    <row r="586" ht="15.75" customHeight="1">
      <c r="A586" s="95"/>
      <c r="B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</row>
    <row r="587" ht="15.75" customHeight="1">
      <c r="A587" s="95"/>
      <c r="B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</row>
    <row r="588" ht="15.75" customHeight="1">
      <c r="A588" s="95"/>
      <c r="B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</row>
    <row r="589" ht="15.75" customHeight="1">
      <c r="A589" s="95"/>
      <c r="B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</row>
    <row r="590" ht="15.75" customHeight="1">
      <c r="A590" s="95"/>
      <c r="B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</row>
    <row r="591" ht="15.75" customHeight="1">
      <c r="A591" s="95"/>
      <c r="B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</row>
    <row r="592" ht="15.75" customHeight="1">
      <c r="A592" s="95"/>
      <c r="B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</row>
    <row r="593" ht="15.75" customHeight="1">
      <c r="A593" s="95"/>
      <c r="B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</row>
    <row r="594" ht="15.75" customHeight="1">
      <c r="A594" s="95"/>
      <c r="B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</row>
    <row r="595" ht="15.75" customHeight="1">
      <c r="A595" s="95"/>
      <c r="B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</row>
    <row r="596" ht="15.75" customHeight="1">
      <c r="A596" s="95"/>
      <c r="B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</row>
    <row r="597" ht="15.75" customHeight="1">
      <c r="A597" s="95"/>
      <c r="B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</row>
    <row r="598" ht="15.75" customHeight="1">
      <c r="A598" s="95"/>
      <c r="B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</row>
    <row r="599" ht="15.75" customHeight="1">
      <c r="A599" s="95"/>
      <c r="B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</row>
    <row r="600" ht="15.75" customHeight="1">
      <c r="A600" s="95"/>
      <c r="B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</row>
    <row r="601" ht="15.75" customHeight="1">
      <c r="A601" s="95"/>
      <c r="B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</row>
    <row r="602" ht="15.75" customHeight="1">
      <c r="A602" s="95"/>
      <c r="B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</row>
    <row r="603" ht="15.75" customHeight="1">
      <c r="A603" s="95"/>
      <c r="B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</row>
    <row r="604" ht="15.75" customHeight="1">
      <c r="A604" s="95"/>
      <c r="B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</row>
    <row r="605" ht="15.75" customHeight="1">
      <c r="A605" s="95"/>
      <c r="B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</row>
    <row r="606" ht="15.75" customHeight="1">
      <c r="A606" s="95"/>
      <c r="B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</row>
    <row r="607" ht="15.75" customHeight="1">
      <c r="A607" s="95"/>
      <c r="B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</row>
    <row r="608" ht="15.75" customHeight="1">
      <c r="A608" s="95"/>
      <c r="B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</row>
    <row r="609" ht="15.75" customHeight="1">
      <c r="A609" s="95"/>
      <c r="B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</row>
    <row r="610" ht="15.75" customHeight="1">
      <c r="A610" s="95"/>
      <c r="B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</row>
    <row r="611" ht="15.75" customHeight="1">
      <c r="A611" s="95"/>
      <c r="B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</row>
    <row r="612" ht="15.75" customHeight="1">
      <c r="A612" s="95"/>
      <c r="B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</row>
    <row r="613" ht="15.75" customHeight="1">
      <c r="A613" s="95"/>
      <c r="B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</row>
    <row r="614" ht="15.75" customHeight="1">
      <c r="A614" s="95"/>
      <c r="B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</row>
    <row r="615" ht="15.75" customHeight="1">
      <c r="A615" s="95"/>
      <c r="B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</row>
    <row r="616" ht="15.75" customHeight="1">
      <c r="A616" s="95"/>
      <c r="B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</row>
    <row r="617" ht="15.75" customHeight="1">
      <c r="A617" s="95"/>
      <c r="B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</row>
    <row r="618" ht="15.75" customHeight="1">
      <c r="A618" s="95"/>
      <c r="B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</row>
    <row r="619" ht="15.75" customHeight="1">
      <c r="A619" s="95"/>
      <c r="B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</row>
    <row r="620" ht="15.75" customHeight="1">
      <c r="A620" s="95"/>
      <c r="B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</row>
    <row r="621" ht="15.75" customHeight="1">
      <c r="A621" s="95"/>
      <c r="B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</row>
    <row r="622" ht="15.75" customHeight="1">
      <c r="A622" s="95"/>
      <c r="B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</row>
    <row r="623" ht="15.75" customHeight="1">
      <c r="A623" s="95"/>
      <c r="B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</row>
    <row r="624" ht="15.75" customHeight="1">
      <c r="A624" s="95"/>
      <c r="B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</row>
    <row r="625" ht="15.75" customHeight="1">
      <c r="A625" s="95"/>
      <c r="B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</row>
    <row r="626" ht="15.75" customHeight="1">
      <c r="A626" s="95"/>
      <c r="B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</row>
    <row r="627" ht="15.75" customHeight="1">
      <c r="A627" s="95"/>
      <c r="B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</row>
    <row r="628" ht="15.75" customHeight="1">
      <c r="A628" s="95"/>
      <c r="B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</row>
    <row r="629" ht="15.75" customHeight="1">
      <c r="A629" s="95"/>
      <c r="B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</row>
    <row r="630" ht="15.75" customHeight="1">
      <c r="A630" s="95"/>
      <c r="B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</row>
    <row r="631" ht="15.75" customHeight="1">
      <c r="A631" s="95"/>
      <c r="B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</row>
    <row r="632" ht="15.75" customHeight="1">
      <c r="A632" s="95"/>
      <c r="B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</row>
    <row r="633" ht="15.75" customHeight="1">
      <c r="A633" s="95"/>
      <c r="B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</row>
    <row r="634" ht="15.75" customHeight="1">
      <c r="A634" s="95"/>
      <c r="B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</row>
    <row r="635" ht="15.75" customHeight="1">
      <c r="A635" s="95"/>
      <c r="B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</row>
    <row r="636" ht="15.75" customHeight="1">
      <c r="A636" s="95"/>
      <c r="B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</row>
    <row r="637" ht="15.75" customHeight="1">
      <c r="A637" s="95"/>
      <c r="B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</row>
    <row r="638" ht="15.75" customHeight="1">
      <c r="A638" s="95"/>
      <c r="B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</row>
    <row r="639" ht="15.75" customHeight="1">
      <c r="A639" s="95"/>
      <c r="B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</row>
    <row r="640" ht="15.75" customHeight="1">
      <c r="A640" s="95"/>
      <c r="B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</row>
    <row r="641" ht="15.75" customHeight="1">
      <c r="A641" s="95"/>
      <c r="B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</row>
    <row r="642" ht="15.75" customHeight="1">
      <c r="A642" s="95"/>
      <c r="B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</row>
    <row r="643" ht="15.75" customHeight="1">
      <c r="A643" s="95"/>
      <c r="B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</row>
    <row r="644" ht="15.75" customHeight="1">
      <c r="A644" s="95"/>
      <c r="B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</row>
    <row r="645" ht="15.75" customHeight="1">
      <c r="A645" s="95"/>
      <c r="B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</row>
    <row r="646" ht="15.75" customHeight="1">
      <c r="A646" s="95"/>
      <c r="B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</row>
    <row r="647" ht="15.75" customHeight="1">
      <c r="A647" s="95"/>
      <c r="B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</row>
    <row r="648" ht="15.75" customHeight="1">
      <c r="A648" s="95"/>
      <c r="B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</row>
    <row r="649" ht="15.75" customHeight="1">
      <c r="A649" s="95"/>
      <c r="B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</row>
    <row r="650" ht="15.75" customHeight="1">
      <c r="A650" s="95"/>
      <c r="B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</row>
    <row r="651" ht="15.75" customHeight="1">
      <c r="A651" s="95"/>
      <c r="B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</row>
    <row r="652" ht="15.75" customHeight="1">
      <c r="A652" s="95"/>
      <c r="B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</row>
    <row r="653" ht="15.75" customHeight="1">
      <c r="A653" s="95"/>
      <c r="B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</row>
    <row r="654" ht="15.75" customHeight="1">
      <c r="A654" s="95"/>
      <c r="B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</row>
    <row r="655" ht="15.75" customHeight="1">
      <c r="A655" s="95"/>
      <c r="B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</row>
    <row r="656" ht="15.75" customHeight="1">
      <c r="A656" s="95"/>
      <c r="B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</row>
    <row r="657" ht="15.75" customHeight="1">
      <c r="A657" s="95"/>
      <c r="B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</row>
    <row r="658" ht="15.75" customHeight="1">
      <c r="A658" s="95"/>
      <c r="B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</row>
    <row r="659" ht="15.75" customHeight="1">
      <c r="A659" s="95"/>
      <c r="B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</row>
    <row r="660" ht="15.75" customHeight="1">
      <c r="A660" s="95"/>
      <c r="B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</row>
    <row r="661" ht="15.75" customHeight="1">
      <c r="A661" s="95"/>
      <c r="B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</row>
    <row r="662" ht="15.75" customHeight="1">
      <c r="A662" s="95"/>
      <c r="B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</row>
    <row r="663" ht="15.75" customHeight="1">
      <c r="A663" s="95"/>
      <c r="B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</row>
    <row r="664" ht="15.75" customHeight="1">
      <c r="A664" s="95"/>
      <c r="B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</row>
    <row r="665" ht="15.75" customHeight="1">
      <c r="A665" s="95"/>
      <c r="B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</row>
    <row r="666" ht="15.75" customHeight="1">
      <c r="A666" s="95"/>
      <c r="B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</row>
    <row r="667" ht="15.75" customHeight="1">
      <c r="A667" s="95"/>
      <c r="B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</row>
    <row r="668" ht="15.75" customHeight="1">
      <c r="A668" s="95"/>
      <c r="B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</row>
    <row r="669" ht="15.75" customHeight="1">
      <c r="A669" s="95"/>
      <c r="B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</row>
    <row r="670" ht="15.75" customHeight="1">
      <c r="A670" s="95"/>
      <c r="B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</row>
    <row r="671" ht="15.75" customHeight="1">
      <c r="A671" s="95"/>
      <c r="B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</row>
    <row r="672" ht="15.75" customHeight="1">
      <c r="A672" s="95"/>
      <c r="B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</row>
    <row r="673" ht="15.75" customHeight="1">
      <c r="A673" s="95"/>
      <c r="B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</row>
    <row r="674" ht="15.75" customHeight="1">
      <c r="A674" s="95"/>
      <c r="B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</row>
    <row r="675" ht="15.75" customHeight="1">
      <c r="A675" s="95"/>
      <c r="B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</row>
    <row r="676" ht="15.75" customHeight="1">
      <c r="A676" s="95"/>
      <c r="B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</row>
    <row r="677" ht="15.75" customHeight="1">
      <c r="A677" s="95"/>
      <c r="B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</row>
    <row r="678" ht="15.75" customHeight="1">
      <c r="A678" s="95"/>
      <c r="B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</row>
    <row r="679" ht="15.75" customHeight="1">
      <c r="A679" s="95"/>
      <c r="B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</row>
    <row r="680" ht="15.75" customHeight="1">
      <c r="A680" s="95"/>
      <c r="B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</row>
    <row r="681" ht="15.75" customHeight="1">
      <c r="A681" s="95"/>
      <c r="B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</row>
    <row r="682" ht="15.75" customHeight="1">
      <c r="A682" s="95"/>
      <c r="B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</row>
    <row r="683" ht="15.75" customHeight="1">
      <c r="A683" s="95"/>
      <c r="B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</row>
    <row r="684" ht="15.75" customHeight="1">
      <c r="A684" s="95"/>
      <c r="B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</row>
    <row r="685" ht="15.75" customHeight="1">
      <c r="A685" s="95"/>
      <c r="B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</row>
    <row r="686" ht="15.75" customHeight="1">
      <c r="A686" s="95"/>
      <c r="B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</row>
    <row r="687" ht="15.75" customHeight="1">
      <c r="A687" s="95"/>
      <c r="B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</row>
    <row r="688" ht="15.75" customHeight="1">
      <c r="A688" s="95"/>
      <c r="B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</row>
    <row r="689" ht="15.75" customHeight="1">
      <c r="A689" s="95"/>
      <c r="B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</row>
    <row r="690" ht="15.75" customHeight="1">
      <c r="A690" s="95"/>
      <c r="B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</row>
    <row r="691" ht="15.75" customHeight="1">
      <c r="A691" s="95"/>
      <c r="B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</row>
    <row r="692" ht="15.75" customHeight="1">
      <c r="A692" s="95"/>
      <c r="B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</row>
    <row r="693" ht="15.75" customHeight="1">
      <c r="A693" s="95"/>
      <c r="B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</row>
    <row r="694" ht="15.75" customHeight="1">
      <c r="A694" s="95"/>
      <c r="B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</row>
    <row r="695" ht="15.75" customHeight="1">
      <c r="A695" s="95"/>
      <c r="B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</row>
    <row r="696" ht="15.75" customHeight="1">
      <c r="A696" s="95"/>
      <c r="B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</row>
    <row r="697" ht="15.75" customHeight="1">
      <c r="A697" s="95"/>
      <c r="B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</row>
    <row r="698" ht="15.75" customHeight="1">
      <c r="A698" s="95"/>
      <c r="B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</row>
    <row r="699" ht="15.75" customHeight="1">
      <c r="A699" s="95"/>
      <c r="B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</row>
    <row r="700" ht="15.75" customHeight="1">
      <c r="A700" s="95"/>
      <c r="B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</row>
    <row r="701" ht="15.75" customHeight="1">
      <c r="A701" s="95"/>
      <c r="B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</row>
    <row r="702" ht="15.75" customHeight="1">
      <c r="A702" s="95"/>
      <c r="B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</row>
    <row r="703" ht="15.75" customHeight="1">
      <c r="A703" s="95"/>
      <c r="B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</row>
    <row r="704" ht="15.75" customHeight="1">
      <c r="A704" s="95"/>
      <c r="B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</row>
    <row r="705" ht="15.75" customHeight="1">
      <c r="A705" s="95"/>
      <c r="B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</row>
    <row r="706" ht="15.75" customHeight="1">
      <c r="A706" s="95"/>
      <c r="B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</row>
    <row r="707" ht="15.75" customHeight="1">
      <c r="A707" s="95"/>
      <c r="B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</row>
    <row r="708" ht="15.75" customHeight="1">
      <c r="A708" s="95"/>
      <c r="B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</row>
    <row r="709" ht="15.75" customHeight="1">
      <c r="A709" s="95"/>
      <c r="B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</row>
    <row r="710" ht="15.75" customHeight="1">
      <c r="A710" s="95"/>
      <c r="B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</row>
    <row r="711" ht="15.75" customHeight="1">
      <c r="A711" s="95"/>
      <c r="B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</row>
    <row r="712" ht="15.75" customHeight="1">
      <c r="A712" s="95"/>
      <c r="B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</row>
    <row r="713" ht="15.75" customHeight="1">
      <c r="A713" s="95"/>
      <c r="B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</row>
    <row r="714" ht="15.75" customHeight="1">
      <c r="A714" s="95"/>
      <c r="B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</row>
    <row r="715" ht="15.75" customHeight="1">
      <c r="A715" s="95"/>
      <c r="B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</row>
    <row r="716" ht="15.75" customHeight="1">
      <c r="A716" s="95"/>
      <c r="B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</row>
    <row r="717" ht="15.75" customHeight="1">
      <c r="A717" s="95"/>
      <c r="B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</row>
    <row r="718" ht="15.75" customHeight="1">
      <c r="A718" s="95"/>
      <c r="B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</row>
    <row r="719" ht="15.75" customHeight="1">
      <c r="A719" s="95"/>
      <c r="B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</row>
    <row r="720" ht="15.75" customHeight="1">
      <c r="A720" s="95"/>
      <c r="B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</row>
    <row r="721" ht="15.75" customHeight="1">
      <c r="A721" s="95"/>
      <c r="B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</row>
    <row r="722" ht="15.75" customHeight="1">
      <c r="A722" s="95"/>
      <c r="B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</row>
    <row r="723" ht="15.75" customHeight="1">
      <c r="A723" s="95"/>
      <c r="B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</row>
    <row r="724" ht="15.75" customHeight="1">
      <c r="A724" s="95"/>
      <c r="B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</row>
    <row r="725" ht="15.75" customHeight="1">
      <c r="A725" s="95"/>
      <c r="B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</row>
    <row r="726" ht="15.75" customHeight="1">
      <c r="A726" s="95"/>
      <c r="B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</row>
    <row r="727" ht="15.75" customHeight="1">
      <c r="A727" s="95"/>
      <c r="B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</row>
    <row r="728" ht="15.75" customHeight="1">
      <c r="A728" s="95"/>
      <c r="B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</row>
    <row r="729" ht="15.75" customHeight="1">
      <c r="A729" s="95"/>
      <c r="B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</row>
    <row r="730" ht="15.75" customHeight="1">
      <c r="A730" s="95"/>
      <c r="B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</row>
    <row r="731" ht="15.75" customHeight="1">
      <c r="A731" s="95"/>
      <c r="B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</row>
    <row r="732" ht="15.75" customHeight="1">
      <c r="A732" s="95"/>
      <c r="B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</row>
    <row r="733" ht="15.75" customHeight="1">
      <c r="A733" s="95"/>
      <c r="B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</row>
    <row r="734" ht="15.75" customHeight="1">
      <c r="A734" s="95"/>
      <c r="B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</row>
    <row r="735" ht="15.75" customHeight="1">
      <c r="A735" s="95"/>
      <c r="B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</row>
    <row r="736" ht="15.75" customHeight="1">
      <c r="A736" s="95"/>
      <c r="B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</row>
    <row r="737" ht="15.75" customHeight="1">
      <c r="A737" s="95"/>
      <c r="B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</row>
    <row r="738" ht="15.75" customHeight="1">
      <c r="A738" s="95"/>
      <c r="B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</row>
    <row r="739" ht="15.75" customHeight="1">
      <c r="A739" s="95"/>
      <c r="B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</row>
    <row r="740" ht="15.75" customHeight="1">
      <c r="A740" s="95"/>
      <c r="B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</row>
    <row r="741" ht="15.75" customHeight="1">
      <c r="A741" s="95"/>
      <c r="B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</row>
    <row r="742" ht="15.75" customHeight="1">
      <c r="A742" s="95"/>
      <c r="B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</row>
    <row r="743" ht="15.75" customHeight="1">
      <c r="A743" s="95"/>
      <c r="B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</row>
    <row r="744" ht="15.75" customHeight="1">
      <c r="A744" s="95"/>
      <c r="B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</row>
    <row r="745" ht="15.75" customHeight="1">
      <c r="A745" s="95"/>
      <c r="B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</row>
    <row r="746" ht="15.75" customHeight="1">
      <c r="A746" s="95"/>
      <c r="B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</row>
    <row r="747" ht="15.75" customHeight="1">
      <c r="A747" s="95"/>
      <c r="B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</row>
    <row r="748" ht="15.75" customHeight="1">
      <c r="A748" s="95"/>
      <c r="B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</row>
    <row r="749" ht="15.75" customHeight="1">
      <c r="A749" s="95"/>
      <c r="B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</row>
    <row r="750" ht="15.75" customHeight="1">
      <c r="A750" s="95"/>
      <c r="B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</row>
    <row r="751" ht="15.75" customHeight="1">
      <c r="A751" s="95"/>
      <c r="B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</row>
    <row r="752" ht="15.75" customHeight="1">
      <c r="A752" s="95"/>
      <c r="B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</row>
    <row r="753" ht="15.75" customHeight="1">
      <c r="A753" s="95"/>
      <c r="B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</row>
    <row r="754" ht="15.75" customHeight="1">
      <c r="A754" s="95"/>
      <c r="B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</row>
    <row r="755" ht="15.75" customHeight="1">
      <c r="A755" s="95"/>
      <c r="B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</row>
    <row r="756" ht="15.75" customHeight="1">
      <c r="A756" s="95"/>
      <c r="B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</row>
    <row r="757" ht="15.75" customHeight="1">
      <c r="A757" s="95"/>
      <c r="B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</row>
    <row r="758" ht="15.75" customHeight="1">
      <c r="A758" s="95"/>
      <c r="B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</row>
    <row r="759" ht="15.75" customHeight="1">
      <c r="A759" s="95"/>
      <c r="B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</row>
    <row r="760" ht="15.75" customHeight="1">
      <c r="A760" s="95"/>
      <c r="B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</row>
    <row r="761" ht="15.75" customHeight="1">
      <c r="A761" s="95"/>
      <c r="B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</row>
    <row r="762" ht="15.75" customHeight="1">
      <c r="A762" s="95"/>
      <c r="B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</row>
    <row r="763" ht="15.75" customHeight="1">
      <c r="A763" s="95"/>
      <c r="B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</row>
    <row r="764" ht="15.75" customHeight="1">
      <c r="A764" s="95"/>
      <c r="B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</row>
    <row r="765" ht="15.75" customHeight="1">
      <c r="A765" s="95"/>
      <c r="B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</row>
    <row r="766" ht="15.75" customHeight="1">
      <c r="A766" s="95"/>
      <c r="B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</row>
    <row r="767" ht="15.75" customHeight="1">
      <c r="A767" s="95"/>
      <c r="B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</row>
    <row r="768" ht="15.75" customHeight="1">
      <c r="A768" s="95"/>
      <c r="B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</row>
    <row r="769" ht="15.75" customHeight="1">
      <c r="A769" s="95"/>
      <c r="B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</row>
    <row r="770" ht="15.75" customHeight="1">
      <c r="A770" s="95"/>
      <c r="B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</row>
    <row r="771" ht="15.75" customHeight="1">
      <c r="A771" s="95"/>
      <c r="B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</row>
    <row r="772" ht="15.75" customHeight="1">
      <c r="A772" s="95"/>
      <c r="B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</row>
    <row r="773" ht="15.75" customHeight="1">
      <c r="A773" s="95"/>
      <c r="B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</row>
    <row r="774" ht="15.75" customHeight="1">
      <c r="A774" s="95"/>
      <c r="B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</row>
    <row r="775" ht="15.75" customHeight="1">
      <c r="A775" s="95"/>
      <c r="B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</row>
    <row r="776" ht="15.75" customHeight="1">
      <c r="A776" s="95"/>
      <c r="B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</row>
    <row r="777" ht="15.75" customHeight="1">
      <c r="A777" s="95"/>
      <c r="B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</row>
    <row r="778" ht="15.75" customHeight="1">
      <c r="A778" s="95"/>
      <c r="B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</row>
    <row r="779" ht="15.75" customHeight="1">
      <c r="A779" s="95"/>
      <c r="B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</row>
    <row r="780" ht="15.75" customHeight="1">
      <c r="A780" s="95"/>
      <c r="B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</row>
    <row r="781" ht="15.75" customHeight="1">
      <c r="A781" s="95"/>
      <c r="B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</row>
    <row r="782" ht="15.75" customHeight="1">
      <c r="A782" s="95"/>
      <c r="B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</row>
    <row r="783" ht="15.75" customHeight="1">
      <c r="A783" s="95"/>
      <c r="B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</row>
    <row r="784" ht="15.75" customHeight="1">
      <c r="A784" s="95"/>
      <c r="B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</row>
    <row r="785" ht="15.75" customHeight="1">
      <c r="A785" s="95"/>
      <c r="B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</row>
    <row r="786" ht="15.75" customHeight="1">
      <c r="A786" s="95"/>
      <c r="B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</row>
    <row r="787" ht="15.75" customHeight="1">
      <c r="A787" s="95"/>
      <c r="B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</row>
    <row r="788" ht="15.75" customHeight="1">
      <c r="A788" s="95"/>
      <c r="B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</row>
    <row r="789" ht="15.75" customHeight="1">
      <c r="A789" s="95"/>
      <c r="B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</row>
    <row r="790" ht="15.75" customHeight="1">
      <c r="A790" s="95"/>
      <c r="B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</row>
    <row r="791" ht="15.75" customHeight="1">
      <c r="A791" s="95"/>
      <c r="B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</row>
    <row r="792" ht="15.75" customHeight="1">
      <c r="A792" s="95"/>
      <c r="B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</row>
    <row r="793" ht="15.75" customHeight="1">
      <c r="A793" s="95"/>
      <c r="B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</row>
    <row r="794" ht="15.75" customHeight="1">
      <c r="A794" s="95"/>
      <c r="B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</row>
    <row r="795" ht="15.75" customHeight="1">
      <c r="A795" s="95"/>
      <c r="B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</row>
    <row r="796" ht="15.75" customHeight="1">
      <c r="A796" s="95"/>
      <c r="B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</row>
    <row r="797" ht="15.75" customHeight="1">
      <c r="A797" s="95"/>
      <c r="B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</row>
    <row r="798" ht="15.75" customHeight="1">
      <c r="A798" s="95"/>
      <c r="B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</row>
    <row r="799" ht="15.75" customHeight="1">
      <c r="A799" s="95"/>
      <c r="B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</row>
    <row r="800" ht="15.75" customHeight="1">
      <c r="A800" s="95"/>
      <c r="B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</row>
    <row r="801" ht="15.75" customHeight="1">
      <c r="A801" s="95"/>
      <c r="B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</row>
    <row r="802" ht="15.75" customHeight="1">
      <c r="A802" s="95"/>
      <c r="B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</row>
    <row r="803" ht="15.75" customHeight="1">
      <c r="A803" s="95"/>
      <c r="B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</row>
    <row r="804" ht="15.75" customHeight="1">
      <c r="A804" s="95"/>
      <c r="B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</row>
    <row r="805" ht="15.75" customHeight="1">
      <c r="A805" s="95"/>
      <c r="B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</row>
    <row r="806" ht="15.75" customHeight="1">
      <c r="A806" s="95"/>
      <c r="B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</row>
    <row r="807" ht="15.75" customHeight="1">
      <c r="A807" s="95"/>
      <c r="B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</row>
    <row r="808" ht="15.75" customHeight="1">
      <c r="A808" s="95"/>
      <c r="B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</row>
    <row r="809" ht="15.75" customHeight="1">
      <c r="A809" s="95"/>
      <c r="B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</row>
    <row r="810" ht="15.75" customHeight="1">
      <c r="A810" s="95"/>
      <c r="B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</row>
    <row r="811" ht="15.75" customHeight="1">
      <c r="A811" s="95"/>
      <c r="B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</row>
    <row r="812" ht="15.75" customHeight="1">
      <c r="A812" s="95"/>
      <c r="B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</row>
    <row r="813" ht="15.75" customHeight="1">
      <c r="A813" s="95"/>
      <c r="B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</row>
    <row r="814" ht="15.75" customHeight="1">
      <c r="A814" s="95"/>
      <c r="B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</row>
    <row r="815" ht="15.75" customHeight="1">
      <c r="A815" s="95"/>
      <c r="B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</row>
    <row r="816" ht="15.75" customHeight="1">
      <c r="A816" s="95"/>
      <c r="B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</row>
    <row r="817" ht="15.75" customHeight="1">
      <c r="A817" s="95"/>
      <c r="B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</row>
    <row r="818" ht="15.75" customHeight="1">
      <c r="A818" s="95"/>
      <c r="B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</row>
    <row r="819" ht="15.75" customHeight="1">
      <c r="A819" s="95"/>
      <c r="B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</row>
    <row r="820" ht="15.75" customHeight="1">
      <c r="A820" s="95"/>
      <c r="B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</row>
    <row r="821" ht="15.75" customHeight="1">
      <c r="A821" s="95"/>
      <c r="B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</row>
    <row r="822" ht="15.75" customHeight="1">
      <c r="A822" s="95"/>
      <c r="B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</row>
    <row r="823" ht="15.75" customHeight="1">
      <c r="A823" s="95"/>
      <c r="B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</row>
    <row r="824" ht="15.75" customHeight="1">
      <c r="A824" s="95"/>
      <c r="B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</row>
    <row r="825" ht="15.75" customHeight="1">
      <c r="A825" s="95"/>
      <c r="B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</row>
    <row r="826" ht="15.75" customHeight="1">
      <c r="A826" s="95"/>
      <c r="B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</row>
    <row r="827" ht="15.75" customHeight="1">
      <c r="A827" s="95"/>
      <c r="B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</row>
    <row r="828" ht="15.75" customHeight="1">
      <c r="A828" s="95"/>
      <c r="B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</row>
    <row r="829" ht="15.75" customHeight="1">
      <c r="A829" s="95"/>
      <c r="B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</row>
    <row r="830" ht="15.75" customHeight="1">
      <c r="A830" s="95"/>
      <c r="B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</row>
    <row r="831" ht="15.75" customHeight="1">
      <c r="A831" s="95"/>
      <c r="B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</row>
    <row r="832" ht="15.75" customHeight="1">
      <c r="A832" s="95"/>
      <c r="B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</row>
    <row r="833" ht="15.75" customHeight="1">
      <c r="A833" s="95"/>
      <c r="B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</row>
    <row r="834" ht="15.75" customHeight="1">
      <c r="A834" s="95"/>
      <c r="B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</row>
    <row r="835" ht="15.75" customHeight="1">
      <c r="A835" s="95"/>
      <c r="B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</row>
    <row r="836" ht="15.75" customHeight="1">
      <c r="A836" s="95"/>
      <c r="B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</row>
    <row r="837" ht="15.75" customHeight="1">
      <c r="A837" s="95"/>
      <c r="B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</row>
    <row r="838" ht="15.75" customHeight="1">
      <c r="A838" s="95"/>
      <c r="B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</row>
    <row r="839" ht="15.75" customHeight="1">
      <c r="A839" s="95"/>
      <c r="B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</row>
    <row r="840" ht="15.75" customHeight="1">
      <c r="A840" s="95"/>
      <c r="B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</row>
    <row r="841" ht="15.75" customHeight="1">
      <c r="A841" s="95"/>
      <c r="B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</row>
    <row r="842" ht="15.75" customHeight="1">
      <c r="A842" s="95"/>
      <c r="B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</row>
    <row r="843" ht="15.75" customHeight="1">
      <c r="A843" s="95"/>
      <c r="B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</row>
    <row r="844" ht="15.75" customHeight="1">
      <c r="A844" s="95"/>
      <c r="B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</row>
    <row r="845" ht="15.75" customHeight="1">
      <c r="A845" s="95"/>
      <c r="B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</row>
    <row r="846" ht="15.75" customHeight="1">
      <c r="A846" s="95"/>
      <c r="B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</row>
    <row r="847" ht="15.75" customHeight="1">
      <c r="A847" s="95"/>
      <c r="B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</row>
    <row r="848" ht="15.75" customHeight="1">
      <c r="A848" s="95"/>
      <c r="B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</row>
    <row r="849" ht="15.75" customHeight="1">
      <c r="A849" s="95"/>
      <c r="B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</row>
    <row r="850" ht="15.75" customHeight="1">
      <c r="A850" s="95"/>
      <c r="B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</row>
    <row r="851" ht="15.75" customHeight="1">
      <c r="A851" s="95"/>
      <c r="B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</row>
    <row r="852" ht="15.75" customHeight="1">
      <c r="A852" s="95"/>
      <c r="B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</row>
    <row r="853" ht="15.75" customHeight="1">
      <c r="A853" s="95"/>
      <c r="B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</row>
    <row r="854" ht="15.75" customHeight="1">
      <c r="A854" s="95"/>
      <c r="B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</row>
    <row r="855" ht="15.75" customHeight="1">
      <c r="A855" s="95"/>
      <c r="B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</row>
    <row r="856" ht="15.75" customHeight="1">
      <c r="A856" s="95"/>
      <c r="B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</row>
    <row r="857" ht="15.75" customHeight="1">
      <c r="A857" s="95"/>
      <c r="B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</row>
    <row r="858" ht="15.75" customHeight="1">
      <c r="A858" s="95"/>
      <c r="B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</row>
    <row r="859" ht="15.75" customHeight="1">
      <c r="A859" s="95"/>
      <c r="B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</row>
    <row r="860" ht="15.75" customHeight="1">
      <c r="A860" s="95"/>
      <c r="B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</row>
    <row r="861" ht="15.75" customHeight="1">
      <c r="A861" s="95"/>
      <c r="B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</row>
    <row r="862" ht="15.75" customHeight="1">
      <c r="A862" s="95"/>
      <c r="B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</row>
    <row r="863" ht="15.75" customHeight="1">
      <c r="A863" s="95"/>
      <c r="B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</row>
    <row r="864" ht="15.75" customHeight="1">
      <c r="A864" s="95"/>
      <c r="B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</row>
    <row r="865" ht="15.75" customHeight="1">
      <c r="A865" s="95"/>
      <c r="B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</row>
    <row r="866" ht="15.75" customHeight="1">
      <c r="A866" s="95"/>
      <c r="B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</row>
    <row r="867" ht="15.75" customHeight="1">
      <c r="A867" s="95"/>
      <c r="B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</row>
    <row r="868" ht="15.75" customHeight="1">
      <c r="A868" s="95"/>
      <c r="B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</row>
    <row r="869" ht="15.75" customHeight="1">
      <c r="A869" s="95"/>
      <c r="B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</row>
    <row r="870" ht="15.75" customHeight="1">
      <c r="A870" s="95"/>
      <c r="B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</row>
    <row r="871" ht="15.75" customHeight="1">
      <c r="A871" s="95"/>
      <c r="B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</row>
    <row r="872" ht="15.75" customHeight="1">
      <c r="A872" s="95"/>
      <c r="B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</row>
    <row r="873" ht="15.75" customHeight="1">
      <c r="A873" s="95"/>
      <c r="B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</row>
    <row r="874" ht="15.75" customHeight="1">
      <c r="A874" s="95"/>
      <c r="B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</row>
    <row r="875" ht="15.75" customHeight="1">
      <c r="A875" s="95"/>
      <c r="B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</row>
    <row r="876" ht="15.75" customHeight="1">
      <c r="A876" s="95"/>
      <c r="B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</row>
    <row r="877" ht="15.75" customHeight="1">
      <c r="A877" s="95"/>
      <c r="B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</row>
    <row r="878" ht="15.75" customHeight="1">
      <c r="A878" s="95"/>
      <c r="B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</row>
    <row r="879" ht="15.75" customHeight="1">
      <c r="A879" s="95"/>
      <c r="B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</row>
    <row r="880" ht="15.75" customHeight="1">
      <c r="A880" s="95"/>
      <c r="B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</row>
    <row r="881" ht="15.75" customHeight="1">
      <c r="A881" s="95"/>
      <c r="B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</row>
    <row r="882" ht="15.75" customHeight="1">
      <c r="A882" s="95"/>
      <c r="B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</row>
    <row r="883" ht="15.75" customHeight="1">
      <c r="A883" s="95"/>
      <c r="B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</row>
    <row r="884" ht="15.75" customHeight="1">
      <c r="A884" s="95"/>
      <c r="B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</row>
    <row r="885" ht="15.75" customHeight="1">
      <c r="A885" s="95"/>
      <c r="B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</row>
    <row r="886" ht="15.75" customHeight="1">
      <c r="A886" s="95"/>
      <c r="B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</row>
    <row r="887" ht="15.75" customHeight="1">
      <c r="A887" s="95"/>
      <c r="B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</row>
    <row r="888" ht="15.75" customHeight="1">
      <c r="A888" s="95"/>
      <c r="B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</row>
    <row r="889" ht="15.75" customHeight="1">
      <c r="A889" s="95"/>
      <c r="B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</row>
    <row r="890" ht="15.75" customHeight="1">
      <c r="A890" s="95"/>
      <c r="B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</row>
    <row r="891" ht="15.75" customHeight="1">
      <c r="A891" s="95"/>
      <c r="B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</row>
    <row r="892" ht="15.75" customHeight="1">
      <c r="A892" s="95"/>
      <c r="B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</row>
    <row r="893" ht="15.75" customHeight="1">
      <c r="A893" s="95"/>
      <c r="B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</row>
    <row r="894" ht="15.75" customHeight="1">
      <c r="A894" s="95"/>
      <c r="B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</row>
    <row r="895" ht="15.75" customHeight="1">
      <c r="A895" s="95"/>
      <c r="B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</row>
    <row r="896" ht="15.75" customHeight="1">
      <c r="A896" s="95"/>
      <c r="B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</row>
    <row r="897" ht="15.75" customHeight="1">
      <c r="A897" s="95"/>
      <c r="B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</row>
    <row r="898" ht="15.75" customHeight="1">
      <c r="A898" s="95"/>
      <c r="B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</row>
    <row r="899" ht="15.75" customHeight="1">
      <c r="A899" s="95"/>
      <c r="B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</row>
    <row r="900" ht="15.75" customHeight="1">
      <c r="A900" s="95"/>
      <c r="B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</row>
    <row r="901" ht="15.75" customHeight="1">
      <c r="A901" s="95"/>
      <c r="B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</row>
    <row r="902" ht="15.75" customHeight="1">
      <c r="A902" s="95"/>
      <c r="B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</row>
    <row r="903" ht="15.75" customHeight="1">
      <c r="A903" s="95"/>
      <c r="B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</row>
    <row r="904" ht="15.75" customHeight="1">
      <c r="A904" s="95"/>
      <c r="B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</row>
    <row r="905" ht="15.75" customHeight="1">
      <c r="A905" s="95"/>
      <c r="B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</row>
    <row r="906" ht="15.75" customHeight="1">
      <c r="A906" s="95"/>
      <c r="B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</row>
    <row r="907" ht="15.75" customHeight="1">
      <c r="A907" s="95"/>
      <c r="B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</row>
    <row r="908" ht="15.75" customHeight="1">
      <c r="A908" s="95"/>
      <c r="B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</row>
    <row r="909" ht="15.75" customHeight="1">
      <c r="A909" s="95"/>
      <c r="B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</row>
    <row r="910" ht="15.75" customHeight="1">
      <c r="A910" s="95"/>
      <c r="B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</row>
    <row r="911" ht="15.75" customHeight="1">
      <c r="A911" s="95"/>
      <c r="B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</row>
    <row r="912" ht="15.75" customHeight="1">
      <c r="A912" s="95"/>
      <c r="B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</row>
    <row r="913" ht="15.75" customHeight="1">
      <c r="A913" s="95"/>
      <c r="B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</row>
    <row r="914" ht="15.75" customHeight="1">
      <c r="A914" s="95"/>
      <c r="B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</row>
    <row r="915" ht="15.75" customHeight="1">
      <c r="A915" s="95"/>
      <c r="B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</row>
    <row r="916" ht="15.75" customHeight="1">
      <c r="A916" s="95"/>
      <c r="B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</row>
    <row r="917" ht="15.75" customHeight="1">
      <c r="A917" s="95"/>
      <c r="B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</row>
    <row r="918" ht="15.75" customHeight="1">
      <c r="A918" s="95"/>
      <c r="B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</row>
    <row r="919" ht="15.75" customHeight="1">
      <c r="A919" s="95"/>
      <c r="B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</row>
    <row r="920" ht="15.75" customHeight="1">
      <c r="A920" s="95"/>
      <c r="B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</row>
    <row r="921" ht="15.75" customHeight="1">
      <c r="A921" s="95"/>
      <c r="B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</row>
    <row r="922" ht="15.75" customHeight="1">
      <c r="A922" s="95"/>
      <c r="B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</row>
    <row r="923" ht="15.75" customHeight="1">
      <c r="A923" s="95"/>
      <c r="B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</row>
    <row r="924" ht="15.75" customHeight="1">
      <c r="A924" s="95"/>
      <c r="B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</row>
    <row r="925" ht="15.75" customHeight="1">
      <c r="A925" s="95"/>
      <c r="B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</row>
    <row r="926" ht="15.75" customHeight="1">
      <c r="A926" s="95"/>
      <c r="B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</row>
    <row r="927" ht="15.75" customHeight="1">
      <c r="A927" s="95"/>
      <c r="B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</row>
    <row r="928" ht="15.75" customHeight="1">
      <c r="A928" s="95"/>
      <c r="B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</row>
    <row r="929" ht="15.75" customHeight="1">
      <c r="A929" s="95"/>
      <c r="B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</row>
    <row r="930" ht="15.75" customHeight="1">
      <c r="A930" s="95"/>
      <c r="B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</row>
    <row r="931" ht="15.75" customHeight="1">
      <c r="A931" s="95"/>
      <c r="B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</row>
    <row r="932" ht="15.75" customHeight="1">
      <c r="A932" s="95"/>
      <c r="B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</row>
    <row r="933" ht="15.75" customHeight="1">
      <c r="A933" s="95"/>
      <c r="B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</row>
    <row r="934" ht="15.75" customHeight="1">
      <c r="A934" s="95"/>
      <c r="B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</row>
    <row r="935" ht="15.75" customHeight="1">
      <c r="A935" s="95"/>
      <c r="B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</row>
    <row r="936" ht="15.75" customHeight="1">
      <c r="A936" s="95"/>
      <c r="B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</row>
    <row r="937" ht="15.75" customHeight="1">
      <c r="A937" s="95"/>
      <c r="B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</row>
    <row r="938" ht="15.75" customHeight="1">
      <c r="A938" s="95"/>
      <c r="B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</row>
    <row r="939" ht="15.75" customHeight="1">
      <c r="A939" s="95"/>
      <c r="B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</row>
    <row r="940" ht="15.75" customHeight="1">
      <c r="A940" s="95"/>
      <c r="B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</row>
    <row r="941" ht="15.75" customHeight="1">
      <c r="A941" s="95"/>
      <c r="B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</row>
    <row r="942" ht="15.75" customHeight="1">
      <c r="A942" s="95"/>
      <c r="B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</row>
    <row r="943" ht="15.75" customHeight="1">
      <c r="A943" s="95"/>
      <c r="B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</row>
    <row r="944" ht="15.75" customHeight="1">
      <c r="A944" s="95"/>
      <c r="B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</row>
    <row r="945" ht="15.75" customHeight="1">
      <c r="A945" s="95"/>
      <c r="B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</row>
    <row r="946" ht="15.75" customHeight="1">
      <c r="A946" s="95"/>
      <c r="B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</row>
    <row r="947" ht="15.75" customHeight="1">
      <c r="A947" s="95"/>
      <c r="B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</row>
    <row r="948" ht="15.75" customHeight="1">
      <c r="A948" s="95"/>
      <c r="B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</row>
    <row r="949" ht="15.75" customHeight="1">
      <c r="A949" s="95"/>
      <c r="B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</row>
    <row r="950" ht="15.75" customHeight="1">
      <c r="A950" s="95"/>
      <c r="B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</row>
    <row r="951" ht="15.75" customHeight="1">
      <c r="A951" s="95"/>
      <c r="B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</row>
    <row r="952" ht="15.75" customHeight="1">
      <c r="A952" s="95"/>
      <c r="B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</row>
    <row r="953" ht="15.75" customHeight="1">
      <c r="A953" s="95"/>
      <c r="B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</row>
    <row r="954" ht="15.75" customHeight="1">
      <c r="A954" s="95"/>
      <c r="B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</row>
    <row r="955" ht="15.75" customHeight="1">
      <c r="A955" s="95"/>
      <c r="B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</row>
    <row r="956" ht="15.75" customHeight="1">
      <c r="A956" s="95"/>
      <c r="B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</row>
    <row r="957" ht="15.75" customHeight="1">
      <c r="A957" s="95"/>
      <c r="B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</row>
    <row r="958" ht="15.75" customHeight="1">
      <c r="A958" s="95"/>
      <c r="B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</row>
    <row r="959" ht="15.75" customHeight="1">
      <c r="A959" s="95"/>
      <c r="B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</row>
    <row r="960" ht="15.75" customHeight="1">
      <c r="A960" s="95"/>
      <c r="B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</row>
    <row r="961" ht="15.75" customHeight="1">
      <c r="A961" s="95"/>
      <c r="B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</row>
    <row r="962" ht="15.75" customHeight="1">
      <c r="A962" s="95"/>
      <c r="B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</row>
    <row r="963" ht="15.75" customHeight="1">
      <c r="A963" s="95"/>
      <c r="B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</row>
    <row r="964" ht="15.75" customHeight="1">
      <c r="A964" s="95"/>
      <c r="B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</row>
    <row r="965" ht="15.75" customHeight="1">
      <c r="A965" s="95"/>
      <c r="B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</row>
    <row r="966" ht="15.75" customHeight="1">
      <c r="A966" s="95"/>
      <c r="B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</row>
    <row r="967" ht="15.75" customHeight="1">
      <c r="A967" s="95"/>
      <c r="B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</row>
    <row r="968" ht="15.75" customHeight="1">
      <c r="A968" s="95"/>
      <c r="B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</row>
    <row r="969" ht="15.75" customHeight="1">
      <c r="A969" s="95"/>
      <c r="B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</row>
    <row r="970" ht="15.75" customHeight="1">
      <c r="A970" s="95"/>
      <c r="B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</row>
    <row r="971" ht="15.75" customHeight="1">
      <c r="A971" s="95"/>
      <c r="B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</row>
    <row r="972" ht="15.75" customHeight="1">
      <c r="A972" s="95"/>
      <c r="B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</row>
    <row r="973" ht="15.75" customHeight="1">
      <c r="A973" s="95"/>
      <c r="B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</row>
    <row r="974" ht="15.75" customHeight="1">
      <c r="A974" s="95"/>
      <c r="B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</row>
    <row r="975" ht="15.75" customHeight="1">
      <c r="A975" s="95"/>
      <c r="B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</row>
    <row r="976" ht="15.75" customHeight="1">
      <c r="A976" s="95"/>
      <c r="B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</row>
    <row r="977" ht="15.75" customHeight="1">
      <c r="A977" s="95"/>
      <c r="B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</row>
    <row r="978" ht="15.75" customHeight="1">
      <c r="A978" s="95"/>
      <c r="B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</row>
    <row r="979" ht="15.75" customHeight="1">
      <c r="A979" s="95"/>
      <c r="B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</row>
    <row r="980" ht="15.75" customHeight="1">
      <c r="A980" s="95"/>
      <c r="B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</row>
    <row r="981" ht="15.75" customHeight="1">
      <c r="A981" s="95"/>
      <c r="B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</row>
    <row r="982" ht="15.75" customHeight="1">
      <c r="A982" s="95"/>
      <c r="B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</row>
    <row r="983" ht="15.75" customHeight="1">
      <c r="A983" s="95"/>
      <c r="B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</row>
    <row r="984" ht="15.75" customHeight="1">
      <c r="A984" s="95"/>
      <c r="B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</row>
    <row r="985" ht="15.75" customHeight="1">
      <c r="A985" s="95"/>
      <c r="B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</row>
    <row r="986" ht="15.75" customHeight="1">
      <c r="A986" s="95"/>
      <c r="B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</row>
    <row r="987" ht="15.75" customHeight="1">
      <c r="A987" s="95"/>
      <c r="B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</row>
    <row r="988" ht="15.75" customHeight="1">
      <c r="A988" s="95"/>
      <c r="B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</row>
    <row r="989" ht="15.75" customHeight="1">
      <c r="A989" s="95"/>
      <c r="B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</row>
    <row r="990" ht="15.75" customHeight="1">
      <c r="A990" s="95"/>
      <c r="B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</row>
    <row r="991" ht="15.75" customHeight="1">
      <c r="A991" s="95"/>
      <c r="B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</row>
    <row r="992" ht="15.75" customHeight="1">
      <c r="A992" s="95"/>
      <c r="B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</row>
    <row r="993" ht="15.75" customHeight="1">
      <c r="A993" s="95"/>
      <c r="B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</row>
    <row r="994" ht="15.75" customHeight="1">
      <c r="A994" s="95"/>
      <c r="B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</row>
    <row r="995" ht="15.75" customHeight="1">
      <c r="A995" s="95"/>
      <c r="B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</row>
    <row r="996" ht="15.75" customHeight="1">
      <c r="A996" s="95"/>
      <c r="B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</row>
    <row r="997" ht="15.75" customHeight="1">
      <c r="A997" s="95"/>
      <c r="B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</row>
    <row r="998" ht="15.75" customHeight="1">
      <c r="A998" s="95"/>
      <c r="B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</row>
    <row r="999" ht="15.75" customHeight="1">
      <c r="A999" s="95"/>
      <c r="B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</row>
  </sheetData>
  <mergeCells count="30">
    <mergeCell ref="H4:V4"/>
    <mergeCell ref="AA4:AF4"/>
    <mergeCell ref="B5:C5"/>
    <mergeCell ref="D5:AJ5"/>
    <mergeCell ref="A7:B7"/>
    <mergeCell ref="D9:N9"/>
    <mergeCell ref="O9:Y9"/>
    <mergeCell ref="Z9:AJ9"/>
    <mergeCell ref="AG4:AH4"/>
    <mergeCell ref="AI4:AJ4"/>
    <mergeCell ref="AK247:AP247"/>
    <mergeCell ref="AL4:AM4"/>
    <mergeCell ref="AN4:AO4"/>
    <mergeCell ref="AL9:AN9"/>
    <mergeCell ref="AP9:AR9"/>
    <mergeCell ref="AT9:AV9"/>
    <mergeCell ref="AX9:AZ9"/>
    <mergeCell ref="BB9:BD9"/>
    <mergeCell ref="AP4:AQ4"/>
    <mergeCell ref="AR4:AV4"/>
    <mergeCell ref="AO5:BD5"/>
    <mergeCell ref="AY4:BA4"/>
    <mergeCell ref="BC4:BD4"/>
    <mergeCell ref="A1:AJ1"/>
    <mergeCell ref="AL1:BE1"/>
    <mergeCell ref="A2:AJ2"/>
    <mergeCell ref="AL2:BE2"/>
    <mergeCell ref="A3:AJ3"/>
    <mergeCell ref="AL3:BE3"/>
    <mergeCell ref="D4:G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1.14"/>
    <col customWidth="1" min="3" max="3" width="19.86"/>
    <col customWidth="1" min="4" max="4" width="30.57"/>
    <col customWidth="1" min="5" max="5" width="34.86"/>
    <col customWidth="1" min="6" max="7" width="14.57"/>
    <col customWidth="1" min="8" max="8" width="21.29"/>
    <col customWidth="1" min="9" max="26" width="9.14"/>
  </cols>
  <sheetData>
    <row r="1" ht="27.0" customHeight="1">
      <c r="C1" s="175" t="s">
        <v>44</v>
      </c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41.25" customHeight="1">
      <c r="C2" s="176" t="str">
        <f>'set target form'!E2</f>
        <v>DEPARTMENT OF PHYSICS</v>
      </c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</row>
    <row r="3">
      <c r="C3" s="66" t="s">
        <v>132</v>
      </c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</row>
    <row r="4">
      <c r="B4" s="179"/>
      <c r="C4" s="180" t="s">
        <v>47</v>
      </c>
      <c r="D4" s="45" t="str">
        <f>'set target form'!E4</f>
        <v>21PHY22</v>
      </c>
      <c r="E4" s="180" t="s">
        <v>49</v>
      </c>
      <c r="F4" s="181" t="str">
        <f>'set target form'!G4</f>
        <v>ENGINEERING PHYSICS</v>
      </c>
      <c r="G4" s="35"/>
      <c r="H4" s="35"/>
      <c r="I4" s="2"/>
      <c r="J4" s="182"/>
      <c r="K4" s="182"/>
      <c r="L4" s="182"/>
      <c r="M4" s="183"/>
      <c r="P4" s="184"/>
      <c r="Q4" s="184"/>
      <c r="R4" s="183"/>
    </row>
    <row r="5">
      <c r="B5" s="182"/>
      <c r="C5" s="185" t="s">
        <v>51</v>
      </c>
      <c r="D5" s="35"/>
      <c r="E5" s="35"/>
      <c r="F5" s="35"/>
      <c r="G5" s="35"/>
      <c r="H5" s="35"/>
      <c r="I5" s="2"/>
      <c r="J5" s="184"/>
      <c r="K5" s="184"/>
      <c r="L5" s="184"/>
      <c r="M5" s="184"/>
      <c r="N5" s="184"/>
      <c r="O5" s="184"/>
      <c r="P5" s="184"/>
      <c r="Q5" s="184"/>
      <c r="R5" s="184"/>
      <c r="S5" s="184"/>
    </row>
    <row r="6">
      <c r="A6" s="184"/>
      <c r="B6" s="182"/>
      <c r="C6" s="186" t="str">
        <f>'set target form'!D6</f>
        <v>Nithin H M</v>
      </c>
      <c r="D6" s="35"/>
      <c r="E6" s="35"/>
      <c r="F6" s="35"/>
      <c r="G6" s="35"/>
      <c r="H6" s="35"/>
      <c r="I6" s="2"/>
      <c r="J6" s="184"/>
      <c r="K6" s="184"/>
      <c r="L6" s="184"/>
      <c r="M6" s="184"/>
      <c r="N6" s="184"/>
      <c r="O6" s="184"/>
      <c r="P6" s="184"/>
      <c r="Q6" s="184"/>
      <c r="R6" s="184"/>
      <c r="S6" s="184"/>
    </row>
    <row r="7">
      <c r="C7" s="180" t="s">
        <v>53</v>
      </c>
      <c r="D7" s="86" t="str">
        <f>'set target form'!E7</f>
        <v>2021-22</v>
      </c>
      <c r="E7" s="180" t="s">
        <v>55</v>
      </c>
      <c r="F7" s="93" t="str">
        <f>'set target form'!G7</f>
        <v>II</v>
      </c>
      <c r="G7" s="35"/>
      <c r="H7" s="35"/>
      <c r="I7" s="2"/>
      <c r="J7" s="187"/>
      <c r="K7" s="187"/>
      <c r="L7" s="187"/>
      <c r="M7" s="187"/>
      <c r="N7" s="187"/>
      <c r="O7" s="187"/>
      <c r="P7" s="187"/>
      <c r="Q7" s="187"/>
      <c r="R7" s="187"/>
      <c r="S7" s="187"/>
    </row>
    <row r="8" ht="30.75" customHeight="1">
      <c r="C8" s="188" t="s">
        <v>133</v>
      </c>
      <c r="D8" s="189" t="s">
        <v>134</v>
      </c>
      <c r="E8" s="190" t="s">
        <v>135</v>
      </c>
      <c r="F8" s="191" t="s">
        <v>7</v>
      </c>
      <c r="G8" s="192" t="s">
        <v>65</v>
      </c>
      <c r="H8" s="193" t="s">
        <v>136</v>
      </c>
      <c r="I8" s="193" t="s">
        <v>137</v>
      </c>
    </row>
    <row r="9" ht="15.75" customHeight="1">
      <c r="C9" s="16"/>
      <c r="D9" s="16"/>
      <c r="E9" s="16"/>
      <c r="F9" s="194"/>
      <c r="G9" s="16"/>
      <c r="H9" s="195"/>
      <c r="I9" s="195"/>
    </row>
    <row r="10">
      <c r="C10" s="196">
        <v>1.0</v>
      </c>
      <c r="D10" s="166"/>
      <c r="E10" s="166"/>
      <c r="F10" s="197"/>
      <c r="G10" s="197"/>
      <c r="H10" s="198"/>
      <c r="I10" s="198"/>
      <c r="K10" s="199"/>
      <c r="L10" s="200"/>
    </row>
    <row r="11">
      <c r="C11" s="196">
        <v>2.0</v>
      </c>
      <c r="D11" s="166"/>
      <c r="E11" s="166"/>
      <c r="F11" s="201"/>
      <c r="G11" s="201"/>
      <c r="H11" s="198"/>
      <c r="I11" s="198"/>
      <c r="K11" s="199"/>
      <c r="L11" s="200"/>
    </row>
    <row r="12" ht="16.5" customHeight="1">
      <c r="C12" s="196">
        <v>3.0</v>
      </c>
      <c r="D12" s="166"/>
      <c r="E12" s="166"/>
      <c r="F12" s="201"/>
      <c r="G12" s="201"/>
      <c r="H12" s="198"/>
      <c r="I12" s="198"/>
      <c r="K12" s="199"/>
      <c r="L12" s="200"/>
    </row>
    <row r="13">
      <c r="C13" s="196">
        <v>4.0</v>
      </c>
      <c r="D13" s="166"/>
      <c r="E13" s="166"/>
      <c r="F13" s="201"/>
      <c r="G13" s="201"/>
      <c r="H13" s="198"/>
      <c r="I13" s="198"/>
      <c r="K13" s="199"/>
      <c r="L13" s="200"/>
    </row>
    <row r="14">
      <c r="C14" s="196">
        <v>5.0</v>
      </c>
      <c r="D14" s="166"/>
      <c r="E14" s="166"/>
      <c r="F14" s="201"/>
      <c r="G14" s="201"/>
      <c r="H14" s="198"/>
      <c r="I14" s="198"/>
      <c r="K14" s="199"/>
      <c r="L14" s="200"/>
    </row>
    <row r="15">
      <c r="C15" s="196">
        <v>6.0</v>
      </c>
      <c r="D15" s="166"/>
      <c r="E15" s="166"/>
      <c r="F15" s="201"/>
      <c r="G15" s="201"/>
      <c r="H15" s="198"/>
      <c r="I15" s="198"/>
      <c r="K15" s="199"/>
      <c r="L15" s="200"/>
    </row>
    <row r="16">
      <c r="C16" s="196">
        <v>7.0</v>
      </c>
      <c r="D16" s="166"/>
      <c r="E16" s="166"/>
      <c r="F16" s="201"/>
      <c r="G16" s="201"/>
      <c r="H16" s="198"/>
      <c r="I16" s="198"/>
      <c r="K16" s="199"/>
      <c r="L16" s="200"/>
    </row>
    <row r="17">
      <c r="C17" s="196">
        <v>8.0</v>
      </c>
      <c r="D17" s="166"/>
      <c r="E17" s="166"/>
      <c r="F17" s="201"/>
      <c r="G17" s="201"/>
      <c r="H17" s="198"/>
      <c r="I17" s="198"/>
      <c r="K17" s="199"/>
      <c r="L17" s="200"/>
    </row>
    <row r="18">
      <c r="C18" s="196">
        <v>9.0</v>
      </c>
      <c r="D18" s="166"/>
      <c r="E18" s="166"/>
      <c r="F18" s="201"/>
      <c r="G18" s="201"/>
      <c r="H18" s="198"/>
      <c r="I18" s="198"/>
      <c r="K18" s="199"/>
      <c r="L18" s="200"/>
    </row>
    <row r="19">
      <c r="C19" s="196">
        <v>10.0</v>
      </c>
      <c r="D19" s="166"/>
      <c r="E19" s="166"/>
      <c r="F19" s="201"/>
      <c r="G19" s="201"/>
      <c r="H19" s="198"/>
      <c r="I19" s="198"/>
      <c r="K19" s="199"/>
      <c r="L19" s="200"/>
    </row>
    <row r="20">
      <c r="C20" s="196">
        <v>11.0</v>
      </c>
      <c r="D20" s="166"/>
      <c r="E20" s="166"/>
      <c r="F20" s="201"/>
      <c r="G20" s="201"/>
      <c r="H20" s="198"/>
      <c r="I20" s="198"/>
      <c r="K20" s="199"/>
      <c r="L20" s="200"/>
    </row>
    <row r="21" ht="15.75" customHeight="1">
      <c r="C21" s="196">
        <v>12.0</v>
      </c>
      <c r="D21" s="166"/>
      <c r="E21" s="166"/>
      <c r="F21" s="201"/>
      <c r="G21" s="201"/>
      <c r="H21" s="198"/>
      <c r="I21" s="198"/>
    </row>
    <row r="22" ht="15.75" customHeight="1">
      <c r="C22" s="196">
        <v>13.0</v>
      </c>
      <c r="D22" s="166"/>
      <c r="E22" s="166"/>
      <c r="F22" s="201"/>
      <c r="G22" s="201"/>
      <c r="H22" s="198"/>
      <c r="I22" s="198"/>
    </row>
    <row r="23" ht="15.75" customHeight="1">
      <c r="C23" s="196">
        <v>14.0</v>
      </c>
      <c r="D23" s="166"/>
      <c r="E23" s="166"/>
      <c r="F23" s="201"/>
      <c r="G23" s="201"/>
      <c r="H23" s="198"/>
      <c r="I23" s="198"/>
    </row>
    <row r="24" ht="15.75" customHeight="1">
      <c r="C24" s="196">
        <v>15.0</v>
      </c>
      <c r="D24" s="166"/>
      <c r="E24" s="166"/>
      <c r="F24" s="201"/>
      <c r="G24" s="201"/>
      <c r="H24" s="198"/>
      <c r="I24" s="198"/>
    </row>
    <row r="25" ht="15.75" customHeight="1">
      <c r="C25" s="196">
        <v>16.0</v>
      </c>
      <c r="D25" s="166"/>
      <c r="E25" s="166"/>
      <c r="F25" s="201"/>
      <c r="G25" s="201"/>
      <c r="H25" s="198"/>
      <c r="I25" s="198"/>
    </row>
    <row r="26" ht="15.75" customHeight="1">
      <c r="C26" s="196">
        <v>17.0</v>
      </c>
      <c r="D26" s="166"/>
      <c r="E26" s="166"/>
      <c r="F26" s="201"/>
      <c r="G26" s="201"/>
      <c r="H26" s="198"/>
      <c r="I26" s="198"/>
    </row>
    <row r="27" ht="15.75" customHeight="1">
      <c r="C27" s="196">
        <v>18.0</v>
      </c>
      <c r="D27" s="166"/>
      <c r="E27" s="166"/>
      <c r="F27" s="201"/>
      <c r="G27" s="201"/>
      <c r="H27" s="198"/>
      <c r="I27" s="198"/>
    </row>
    <row r="28" ht="15.75" customHeight="1">
      <c r="C28" s="196">
        <v>19.0</v>
      </c>
      <c r="D28" s="166"/>
      <c r="E28" s="166"/>
      <c r="F28" s="201"/>
      <c r="G28" s="201"/>
      <c r="H28" s="198"/>
      <c r="I28" s="198"/>
    </row>
    <row r="29" ht="15.75" customHeight="1">
      <c r="C29" s="196">
        <v>20.0</v>
      </c>
      <c r="D29" s="166"/>
      <c r="E29" s="166"/>
      <c r="F29" s="201"/>
      <c r="G29" s="201"/>
      <c r="H29" s="198"/>
      <c r="I29" s="198"/>
    </row>
    <row r="30" ht="15.75" customHeight="1">
      <c r="C30" s="196">
        <v>21.0</v>
      </c>
      <c r="D30" s="166"/>
      <c r="E30" s="166"/>
      <c r="F30" s="201"/>
      <c r="G30" s="201"/>
      <c r="H30" s="198"/>
      <c r="I30" s="198"/>
    </row>
    <row r="31" ht="15.75" customHeight="1">
      <c r="C31" s="196">
        <v>22.0</v>
      </c>
      <c r="D31" s="166"/>
      <c r="E31" s="166"/>
      <c r="F31" s="201"/>
      <c r="G31" s="201"/>
      <c r="H31" s="198"/>
      <c r="I31" s="198"/>
    </row>
    <row r="32" ht="15.75" customHeight="1">
      <c r="C32" s="196">
        <v>23.0</v>
      </c>
      <c r="D32" s="166"/>
      <c r="E32" s="166"/>
      <c r="F32" s="201"/>
      <c r="G32" s="201"/>
      <c r="H32" s="198"/>
      <c r="I32" s="198"/>
    </row>
    <row r="33" ht="15.75" customHeight="1">
      <c r="C33" s="196">
        <v>24.0</v>
      </c>
      <c r="D33" s="166"/>
      <c r="E33" s="166"/>
      <c r="F33" s="201"/>
      <c r="G33" s="201"/>
      <c r="H33" s="198"/>
      <c r="I33" s="198"/>
    </row>
    <row r="34" ht="15.75" customHeight="1">
      <c r="C34" s="196">
        <v>25.0</v>
      </c>
      <c r="D34" s="166"/>
      <c r="E34" s="166"/>
      <c r="F34" s="201"/>
      <c r="G34" s="201"/>
      <c r="H34" s="198"/>
      <c r="I34" s="198"/>
    </row>
    <row r="35" ht="15.75" customHeight="1">
      <c r="C35" s="196">
        <v>26.0</v>
      </c>
      <c r="D35" s="166"/>
      <c r="E35" s="166"/>
      <c r="F35" s="201"/>
      <c r="G35" s="201"/>
      <c r="H35" s="198"/>
      <c r="I35" s="198"/>
    </row>
    <row r="36" ht="15.75" customHeight="1">
      <c r="C36" s="196">
        <v>27.0</v>
      </c>
      <c r="D36" s="166"/>
      <c r="E36" s="166"/>
      <c r="F36" s="201"/>
      <c r="G36" s="201"/>
      <c r="H36" s="198"/>
      <c r="I36" s="198"/>
    </row>
    <row r="37" ht="15.75" customHeight="1">
      <c r="C37" s="196">
        <v>28.0</v>
      </c>
      <c r="D37" s="166"/>
      <c r="E37" s="166"/>
      <c r="F37" s="201"/>
      <c r="G37" s="201"/>
      <c r="H37" s="198"/>
      <c r="I37" s="198"/>
    </row>
    <row r="38" ht="15.75" customHeight="1">
      <c r="C38" s="196">
        <v>29.0</v>
      </c>
      <c r="D38" s="166"/>
      <c r="E38" s="166"/>
      <c r="F38" s="201"/>
      <c r="G38" s="201"/>
      <c r="H38" s="198"/>
      <c r="I38" s="198"/>
    </row>
    <row r="39" ht="15.75" customHeight="1">
      <c r="C39" s="196">
        <v>30.0</v>
      </c>
      <c r="D39" s="166"/>
      <c r="E39" s="166"/>
      <c r="F39" s="201"/>
      <c r="G39" s="201"/>
      <c r="H39" s="198"/>
      <c r="I39" s="198"/>
    </row>
    <row r="40" ht="15.75" customHeight="1">
      <c r="C40" s="196">
        <v>31.0</v>
      </c>
      <c r="D40" s="166"/>
      <c r="E40" s="166"/>
      <c r="F40" s="201"/>
      <c r="G40" s="201"/>
      <c r="H40" s="198"/>
      <c r="I40" s="198"/>
    </row>
    <row r="41" ht="15.75" customHeight="1">
      <c r="C41" s="196">
        <v>32.0</v>
      </c>
      <c r="D41" s="166"/>
      <c r="E41" s="166"/>
      <c r="F41" s="201"/>
      <c r="G41" s="201"/>
      <c r="H41" s="198"/>
      <c r="I41" s="198"/>
    </row>
    <row r="42" ht="15.75" customHeight="1">
      <c r="C42" s="196">
        <v>33.0</v>
      </c>
      <c r="D42" s="166"/>
      <c r="E42" s="166"/>
      <c r="F42" s="201"/>
      <c r="G42" s="201"/>
      <c r="H42" s="198"/>
      <c r="I42" s="198"/>
    </row>
    <row r="43" ht="15.75" customHeight="1">
      <c r="C43" s="196">
        <v>34.0</v>
      </c>
      <c r="D43" s="166"/>
      <c r="E43" s="166"/>
      <c r="F43" s="201"/>
      <c r="G43" s="201"/>
      <c r="H43" s="198"/>
      <c r="I43" s="198"/>
    </row>
    <row r="44" ht="15.75" customHeight="1">
      <c r="C44" s="196">
        <v>35.0</v>
      </c>
      <c r="D44" s="166"/>
      <c r="E44" s="166"/>
      <c r="F44" s="201"/>
      <c r="G44" s="201"/>
      <c r="H44" s="198"/>
      <c r="I44" s="198"/>
    </row>
    <row r="45" ht="15.75" customHeight="1">
      <c r="C45" s="196">
        <v>36.0</v>
      </c>
      <c r="D45" s="166"/>
      <c r="E45" s="166"/>
      <c r="F45" s="201"/>
      <c r="G45" s="201"/>
      <c r="H45" s="198"/>
      <c r="I45" s="198"/>
    </row>
    <row r="46" ht="15.75" customHeight="1">
      <c r="C46" s="196">
        <v>37.0</v>
      </c>
      <c r="D46" s="166"/>
      <c r="E46" s="166"/>
      <c r="F46" s="201"/>
      <c r="G46" s="201"/>
      <c r="H46" s="198"/>
      <c r="I46" s="198"/>
    </row>
    <row r="47" ht="15.75" customHeight="1">
      <c r="C47" s="196">
        <v>38.0</v>
      </c>
      <c r="D47" s="166"/>
      <c r="E47" s="166"/>
      <c r="F47" s="201"/>
      <c r="G47" s="201"/>
      <c r="H47" s="198"/>
      <c r="I47" s="198"/>
    </row>
    <row r="48" ht="15.75" customHeight="1">
      <c r="C48" s="196">
        <v>39.0</v>
      </c>
      <c r="D48" s="166"/>
      <c r="E48" s="166"/>
      <c r="F48" s="201"/>
      <c r="G48" s="201"/>
      <c r="H48" s="198"/>
      <c r="I48" s="198"/>
    </row>
    <row r="49" ht="15.75" customHeight="1">
      <c r="C49" s="196">
        <v>40.0</v>
      </c>
      <c r="D49" s="166"/>
      <c r="E49" s="166"/>
      <c r="F49" s="201"/>
      <c r="G49" s="201"/>
      <c r="H49" s="198"/>
      <c r="I49" s="198"/>
    </row>
    <row r="50" ht="15.75" customHeight="1">
      <c r="C50" s="196">
        <v>41.0</v>
      </c>
      <c r="D50" s="166"/>
      <c r="E50" s="166"/>
      <c r="F50" s="201"/>
      <c r="G50" s="201"/>
      <c r="H50" s="198"/>
      <c r="I50" s="198"/>
    </row>
    <row r="51" ht="15.75" customHeight="1">
      <c r="C51" s="196">
        <v>42.0</v>
      </c>
      <c r="D51" s="166"/>
      <c r="E51" s="166"/>
      <c r="F51" s="201"/>
      <c r="G51" s="201"/>
      <c r="H51" s="198"/>
      <c r="I51" s="198"/>
    </row>
    <row r="52" ht="15.75" customHeight="1">
      <c r="C52" s="196">
        <v>43.0</v>
      </c>
      <c r="D52" s="166"/>
      <c r="E52" s="166"/>
      <c r="F52" s="201"/>
      <c r="G52" s="201"/>
      <c r="H52" s="198"/>
      <c r="I52" s="198"/>
    </row>
    <row r="53" ht="15.75" customHeight="1">
      <c r="C53" s="196">
        <v>44.0</v>
      </c>
      <c r="D53" s="166"/>
      <c r="E53" s="166"/>
      <c r="F53" s="201"/>
      <c r="G53" s="201"/>
      <c r="H53" s="198"/>
      <c r="I53" s="198"/>
    </row>
    <row r="54" ht="15.75" customHeight="1">
      <c r="C54" s="196">
        <v>45.0</v>
      </c>
      <c r="D54" s="166"/>
      <c r="E54" s="166"/>
      <c r="F54" s="201"/>
      <c r="G54" s="201"/>
      <c r="H54" s="198"/>
      <c r="I54" s="198"/>
    </row>
    <row r="55" ht="15.75" customHeight="1">
      <c r="C55" s="196">
        <v>46.0</v>
      </c>
      <c r="D55" s="166"/>
      <c r="E55" s="166"/>
      <c r="F55" s="201"/>
      <c r="G55" s="201"/>
      <c r="H55" s="198"/>
      <c r="I55" s="198"/>
    </row>
    <row r="56" ht="15.75" customHeight="1">
      <c r="C56" s="196">
        <v>47.0</v>
      </c>
      <c r="D56" s="166"/>
      <c r="E56" s="166"/>
      <c r="F56" s="201"/>
      <c r="G56" s="201"/>
      <c r="H56" s="198"/>
      <c r="I56" s="198"/>
    </row>
    <row r="57" ht="15.75" customHeight="1">
      <c r="C57" s="196">
        <v>48.0</v>
      </c>
      <c r="D57" s="166"/>
      <c r="E57" s="166"/>
      <c r="F57" s="201"/>
      <c r="G57" s="201"/>
      <c r="H57" s="198"/>
      <c r="I57" s="198"/>
    </row>
    <row r="58" ht="15.75" customHeight="1">
      <c r="C58" s="196">
        <v>49.0</v>
      </c>
      <c r="D58" s="166"/>
      <c r="E58" s="166"/>
      <c r="F58" s="201"/>
      <c r="G58" s="201"/>
      <c r="H58" s="198"/>
      <c r="I58" s="198"/>
    </row>
    <row r="59" ht="15.75" customHeight="1">
      <c r="C59" s="196">
        <v>50.0</v>
      </c>
      <c r="D59" s="166"/>
      <c r="E59" s="166"/>
      <c r="F59" s="201"/>
      <c r="G59" s="201"/>
      <c r="H59" s="198"/>
      <c r="I59" s="198"/>
    </row>
    <row r="60" ht="15.75" customHeight="1">
      <c r="C60" s="196">
        <v>51.0</v>
      </c>
      <c r="D60" s="166"/>
      <c r="E60" s="166"/>
      <c r="F60" s="201"/>
      <c r="G60" s="201"/>
      <c r="H60" s="198"/>
      <c r="I60" s="198"/>
    </row>
    <row r="61" ht="15.75" customHeight="1">
      <c r="C61" s="196">
        <v>52.0</v>
      </c>
      <c r="D61" s="166"/>
      <c r="E61" s="166"/>
      <c r="F61" s="201"/>
      <c r="G61" s="201"/>
      <c r="H61" s="198"/>
      <c r="I61" s="198"/>
    </row>
    <row r="62" ht="15.75" customHeight="1">
      <c r="C62" s="196">
        <v>53.0</v>
      </c>
      <c r="D62" s="166"/>
      <c r="E62" s="166"/>
      <c r="F62" s="201"/>
      <c r="G62" s="201"/>
      <c r="H62" s="198"/>
      <c r="I62" s="198"/>
    </row>
    <row r="63" ht="15.75" customHeight="1">
      <c r="C63" s="196">
        <v>54.0</v>
      </c>
      <c r="D63" s="166"/>
      <c r="E63" s="166"/>
      <c r="F63" s="201"/>
      <c r="G63" s="201"/>
      <c r="H63" s="198"/>
      <c r="I63" s="198"/>
    </row>
    <row r="64" ht="15.75" customHeight="1">
      <c r="C64" s="196">
        <v>55.0</v>
      </c>
      <c r="D64" s="166"/>
      <c r="E64" s="166"/>
      <c r="F64" s="201"/>
      <c r="G64" s="201"/>
      <c r="H64" s="198"/>
      <c r="I64" s="198"/>
    </row>
    <row r="65" ht="15.75" customHeight="1">
      <c r="C65" s="196">
        <v>56.0</v>
      </c>
      <c r="D65" s="166"/>
      <c r="E65" s="166"/>
      <c r="F65" s="201"/>
      <c r="G65" s="201"/>
      <c r="H65" s="198"/>
      <c r="I65" s="198"/>
    </row>
    <row r="66" ht="15.75" customHeight="1">
      <c r="C66" s="196">
        <v>57.0</v>
      </c>
      <c r="D66" s="166"/>
      <c r="E66" s="166"/>
      <c r="F66" s="201"/>
      <c r="G66" s="201"/>
      <c r="H66" s="198"/>
      <c r="I66" s="198"/>
    </row>
    <row r="67" ht="15.75" customHeight="1">
      <c r="C67" s="196">
        <v>58.0</v>
      </c>
      <c r="D67" s="166"/>
      <c r="E67" s="166"/>
      <c r="F67" s="201"/>
      <c r="G67" s="201"/>
      <c r="H67" s="198"/>
      <c r="I67" s="198"/>
    </row>
    <row r="68" ht="15.75" customHeight="1">
      <c r="C68" s="196">
        <v>59.0</v>
      </c>
      <c r="D68" s="166"/>
      <c r="E68" s="166"/>
      <c r="F68" s="201"/>
      <c r="G68" s="201"/>
      <c r="H68" s="198"/>
      <c r="I68" s="198"/>
    </row>
    <row r="69" ht="15.75" customHeight="1">
      <c r="C69" s="196">
        <v>60.0</v>
      </c>
      <c r="D69" s="166"/>
      <c r="E69" s="166"/>
      <c r="F69" s="201"/>
      <c r="G69" s="201"/>
      <c r="H69" s="198"/>
      <c r="I69" s="198"/>
    </row>
    <row r="70" ht="15.75" customHeight="1">
      <c r="C70" s="196">
        <v>61.0</v>
      </c>
      <c r="D70" s="166"/>
      <c r="E70" s="166"/>
      <c r="F70" s="201"/>
      <c r="G70" s="201"/>
      <c r="H70" s="198"/>
      <c r="I70" s="198"/>
    </row>
    <row r="71" ht="15.75" customHeight="1">
      <c r="C71" s="196">
        <v>62.0</v>
      </c>
      <c r="D71" s="166"/>
      <c r="E71" s="166"/>
      <c r="F71" s="201"/>
      <c r="G71" s="201"/>
      <c r="H71" s="198"/>
      <c r="I71" s="198"/>
    </row>
    <row r="72" ht="15.75" customHeight="1">
      <c r="C72" s="196">
        <v>63.0</v>
      </c>
      <c r="D72" s="166"/>
      <c r="E72" s="166"/>
      <c r="F72" s="201"/>
      <c r="G72" s="201"/>
      <c r="H72" s="198"/>
      <c r="I72" s="198"/>
    </row>
    <row r="73" ht="15.75" customHeight="1">
      <c r="C73" s="196">
        <v>64.0</v>
      </c>
      <c r="D73" s="166"/>
      <c r="E73" s="166"/>
      <c r="F73" s="201"/>
      <c r="G73" s="201"/>
      <c r="H73" s="198"/>
      <c r="I73" s="198"/>
    </row>
    <row r="74" ht="15.75" customHeight="1">
      <c r="C74" s="196">
        <v>65.0</v>
      </c>
      <c r="D74" s="166"/>
      <c r="E74" s="166"/>
      <c r="F74" s="201"/>
      <c r="G74" s="201"/>
      <c r="H74" s="198"/>
      <c r="I74" s="198"/>
    </row>
    <row r="75" ht="15.75" customHeight="1">
      <c r="C75" s="196">
        <v>66.0</v>
      </c>
      <c r="D75" s="166"/>
      <c r="E75" s="166"/>
      <c r="F75" s="201"/>
      <c r="G75" s="201"/>
      <c r="H75" s="198"/>
      <c r="I75" s="198"/>
    </row>
    <row r="76" ht="15.75" customHeight="1">
      <c r="C76" s="196">
        <v>67.0</v>
      </c>
      <c r="D76" s="166"/>
      <c r="E76" s="166"/>
      <c r="F76" s="201"/>
      <c r="G76" s="201"/>
      <c r="H76" s="198"/>
      <c r="I76" s="198"/>
    </row>
    <row r="77" ht="15.75" customHeight="1">
      <c r="C77" s="196">
        <v>68.0</v>
      </c>
      <c r="D77" s="166"/>
      <c r="E77" s="166"/>
      <c r="F77" s="201"/>
      <c r="G77" s="201"/>
      <c r="H77" s="198"/>
      <c r="I77" s="198"/>
    </row>
    <row r="78" ht="15.75" customHeight="1">
      <c r="C78" s="196">
        <v>69.0</v>
      </c>
      <c r="D78" s="166"/>
      <c r="E78" s="166"/>
      <c r="F78" s="201"/>
      <c r="G78" s="201"/>
      <c r="H78" s="198"/>
      <c r="I78" s="198"/>
    </row>
    <row r="79" ht="15.75" customHeight="1">
      <c r="C79" s="196">
        <v>70.0</v>
      </c>
      <c r="D79" s="166"/>
      <c r="E79" s="166"/>
      <c r="F79" s="201"/>
      <c r="G79" s="201"/>
      <c r="H79" s="198"/>
      <c r="I79" s="198"/>
    </row>
    <row r="80" ht="15.75" customHeight="1">
      <c r="C80" s="196">
        <v>71.0</v>
      </c>
      <c r="D80" s="166"/>
      <c r="E80" s="166"/>
      <c r="F80" s="201"/>
      <c r="G80" s="201"/>
      <c r="H80" s="198"/>
      <c r="I80" s="198"/>
    </row>
    <row r="81" ht="15.75" customHeight="1">
      <c r="C81" s="196">
        <v>72.0</v>
      </c>
      <c r="D81" s="166"/>
      <c r="E81" s="166"/>
      <c r="F81" s="201"/>
      <c r="G81" s="201"/>
      <c r="H81" s="198"/>
      <c r="I81" s="198"/>
    </row>
    <row r="82" ht="15.75" customHeight="1">
      <c r="C82" s="196">
        <v>73.0</v>
      </c>
      <c r="D82" s="166"/>
      <c r="E82" s="166"/>
      <c r="F82" s="201"/>
      <c r="G82" s="201"/>
      <c r="H82" s="198"/>
      <c r="I82" s="198"/>
    </row>
    <row r="83" ht="15.75" customHeight="1">
      <c r="C83" s="196">
        <v>74.0</v>
      </c>
      <c r="D83" s="166"/>
      <c r="E83" s="166"/>
      <c r="F83" s="201"/>
      <c r="G83" s="201"/>
      <c r="H83" s="198"/>
      <c r="I83" s="198"/>
    </row>
    <row r="84" ht="15.75" customHeight="1">
      <c r="C84" s="196">
        <v>75.0</v>
      </c>
      <c r="D84" s="166"/>
      <c r="E84" s="166"/>
      <c r="F84" s="201"/>
      <c r="G84" s="201"/>
      <c r="H84" s="198"/>
      <c r="I84" s="198"/>
    </row>
    <row r="85" ht="15.75" customHeight="1">
      <c r="C85" s="196">
        <v>76.0</v>
      </c>
      <c r="D85" s="166"/>
      <c r="E85" s="166"/>
      <c r="F85" s="201"/>
      <c r="G85" s="201"/>
      <c r="H85" s="198"/>
      <c r="I85" s="198"/>
    </row>
    <row r="86" ht="15.75" customHeight="1">
      <c r="C86" s="196">
        <v>77.0</v>
      </c>
      <c r="D86" s="166"/>
      <c r="E86" s="166"/>
      <c r="F86" s="201"/>
      <c r="G86" s="201"/>
      <c r="H86" s="198"/>
      <c r="I86" s="198"/>
    </row>
    <row r="87" ht="15.75" customHeight="1">
      <c r="C87" s="196">
        <v>78.0</v>
      </c>
      <c r="D87" s="166"/>
      <c r="E87" s="166"/>
      <c r="F87" s="201"/>
      <c r="G87" s="201"/>
      <c r="H87" s="198"/>
      <c r="I87" s="198"/>
    </row>
    <row r="88" ht="15.75" customHeight="1">
      <c r="C88" s="196">
        <v>79.0</v>
      </c>
      <c r="D88" s="166"/>
      <c r="E88" s="166"/>
      <c r="F88" s="201"/>
      <c r="G88" s="201"/>
      <c r="H88" s="198"/>
      <c r="I88" s="198"/>
    </row>
    <row r="89" ht="15.75" customHeight="1">
      <c r="C89" s="196">
        <v>80.0</v>
      </c>
      <c r="D89" s="166"/>
      <c r="E89" s="166"/>
      <c r="F89" s="201"/>
      <c r="G89" s="201"/>
      <c r="H89" s="198"/>
      <c r="I89" s="198"/>
    </row>
    <row r="90" ht="15.75" customHeight="1">
      <c r="C90" s="196">
        <v>81.0</v>
      </c>
      <c r="D90" s="166"/>
      <c r="E90" s="166"/>
      <c r="F90" s="201"/>
      <c r="G90" s="201"/>
      <c r="H90" s="198"/>
      <c r="I90" s="198"/>
    </row>
    <row r="91" ht="15.75" customHeight="1">
      <c r="C91" s="196">
        <v>82.0</v>
      </c>
      <c r="D91" s="166"/>
      <c r="E91" s="166"/>
      <c r="F91" s="201"/>
      <c r="G91" s="201"/>
      <c r="H91" s="198"/>
      <c r="I91" s="198"/>
    </row>
    <row r="92" ht="15.75" customHeight="1">
      <c r="C92" s="196">
        <v>83.0</v>
      </c>
      <c r="D92" s="166"/>
      <c r="E92" s="166"/>
      <c r="F92" s="201"/>
      <c r="G92" s="201"/>
      <c r="H92" s="198"/>
      <c r="I92" s="198"/>
    </row>
    <row r="93" ht="15.75" customHeight="1">
      <c r="C93" s="196">
        <v>84.0</v>
      </c>
      <c r="D93" s="166"/>
      <c r="E93" s="166"/>
      <c r="F93" s="201"/>
      <c r="G93" s="201"/>
      <c r="H93" s="198"/>
      <c r="I93" s="198"/>
    </row>
    <row r="94" ht="15.75" customHeight="1">
      <c r="C94" s="196">
        <v>85.0</v>
      </c>
      <c r="D94" s="166"/>
      <c r="E94" s="166"/>
      <c r="F94" s="201"/>
      <c r="G94" s="201"/>
      <c r="H94" s="198"/>
      <c r="I94" s="198"/>
    </row>
    <row r="95" ht="15.75" customHeight="1">
      <c r="C95" s="196">
        <v>86.0</v>
      </c>
      <c r="D95" s="166"/>
      <c r="E95" s="166"/>
      <c r="F95" s="201"/>
      <c r="G95" s="201"/>
      <c r="H95" s="198"/>
      <c r="I95" s="198"/>
    </row>
    <row r="96" ht="15.75" customHeight="1">
      <c r="C96" s="196">
        <v>87.0</v>
      </c>
      <c r="D96" s="166"/>
      <c r="E96" s="166"/>
      <c r="F96" s="201"/>
      <c r="G96" s="201"/>
      <c r="H96" s="198"/>
      <c r="I96" s="198"/>
    </row>
    <row r="97" ht="15.75" customHeight="1">
      <c r="C97" s="196">
        <v>88.0</v>
      </c>
      <c r="D97" s="166"/>
      <c r="E97" s="166"/>
      <c r="F97" s="201"/>
      <c r="G97" s="201"/>
      <c r="H97" s="198"/>
      <c r="I97" s="198"/>
    </row>
    <row r="98" ht="15.75" customHeight="1">
      <c r="C98" s="196">
        <v>89.0</v>
      </c>
      <c r="D98" s="166"/>
      <c r="E98" s="166"/>
      <c r="F98" s="201"/>
      <c r="G98" s="201"/>
      <c r="H98" s="198"/>
      <c r="I98" s="198"/>
    </row>
    <row r="99" ht="15.75" customHeight="1">
      <c r="C99" s="196">
        <v>90.0</v>
      </c>
      <c r="D99" s="166"/>
      <c r="E99" s="166"/>
      <c r="F99" s="201"/>
      <c r="G99" s="201"/>
      <c r="H99" s="198"/>
      <c r="I99" s="198"/>
    </row>
    <row r="100" ht="15.75" customHeight="1">
      <c r="C100" s="196">
        <v>91.0</v>
      </c>
      <c r="D100" s="166"/>
      <c r="E100" s="166"/>
      <c r="F100" s="201"/>
      <c r="G100" s="201"/>
      <c r="H100" s="198"/>
      <c r="I100" s="198"/>
    </row>
    <row r="101" ht="15.75" customHeight="1">
      <c r="C101" s="196">
        <v>92.0</v>
      </c>
      <c r="D101" s="166"/>
      <c r="E101" s="166"/>
      <c r="F101" s="201"/>
      <c r="G101" s="201"/>
      <c r="H101" s="198"/>
      <c r="I101" s="198"/>
    </row>
    <row r="102" ht="15.75" customHeight="1">
      <c r="C102" s="196">
        <v>93.0</v>
      </c>
      <c r="D102" s="166"/>
      <c r="E102" s="166"/>
      <c r="F102" s="201"/>
      <c r="G102" s="201"/>
      <c r="H102" s="198"/>
      <c r="I102" s="198"/>
    </row>
    <row r="103" ht="15.75" customHeight="1">
      <c r="C103" s="196">
        <v>94.0</v>
      </c>
      <c r="D103" s="166"/>
      <c r="E103" s="166"/>
      <c r="F103" s="201"/>
      <c r="G103" s="201"/>
      <c r="H103" s="198"/>
      <c r="I103" s="198"/>
    </row>
    <row r="104" ht="15.75" customHeight="1">
      <c r="C104" s="196">
        <v>95.0</v>
      </c>
      <c r="D104" s="166"/>
      <c r="E104" s="166"/>
      <c r="F104" s="201"/>
      <c r="G104" s="201"/>
      <c r="H104" s="198"/>
      <c r="I104" s="198"/>
    </row>
    <row r="105" ht="15.75" customHeight="1">
      <c r="C105" s="196">
        <v>96.0</v>
      </c>
      <c r="D105" s="166"/>
      <c r="E105" s="166"/>
      <c r="F105" s="201"/>
      <c r="G105" s="201"/>
      <c r="H105" s="198"/>
      <c r="I105" s="198"/>
    </row>
    <row r="106" ht="15.75" customHeight="1">
      <c r="C106" s="196">
        <v>97.0</v>
      </c>
      <c r="D106" s="166"/>
      <c r="E106" s="166"/>
      <c r="F106" s="201"/>
      <c r="G106" s="201"/>
      <c r="H106" s="198"/>
      <c r="I106" s="198"/>
    </row>
    <row r="107" ht="15.75" customHeight="1">
      <c r="C107" s="196">
        <v>98.0</v>
      </c>
      <c r="D107" s="166"/>
      <c r="E107" s="166"/>
      <c r="F107" s="201"/>
      <c r="G107" s="201"/>
      <c r="H107" s="198"/>
      <c r="I107" s="198"/>
    </row>
    <row r="108" ht="15.75" customHeight="1">
      <c r="C108" s="196">
        <v>99.0</v>
      </c>
      <c r="D108" s="166"/>
      <c r="E108" s="166"/>
      <c r="F108" s="201"/>
      <c r="G108" s="201"/>
      <c r="H108" s="198"/>
      <c r="I108" s="198"/>
    </row>
    <row r="109" ht="15.75" customHeight="1">
      <c r="C109" s="196">
        <v>100.0</v>
      </c>
      <c r="D109" s="166"/>
      <c r="E109" s="166"/>
      <c r="F109" s="201"/>
      <c r="G109" s="201"/>
      <c r="H109" s="198"/>
      <c r="I109" s="198"/>
    </row>
    <row r="110" ht="15.75" customHeight="1">
      <c r="C110" s="196">
        <v>101.0</v>
      </c>
      <c r="D110" s="166"/>
      <c r="E110" s="166"/>
      <c r="F110" s="201"/>
      <c r="G110" s="201"/>
      <c r="H110" s="198"/>
      <c r="I110" s="198"/>
    </row>
    <row r="111" ht="15.75" customHeight="1">
      <c r="C111" s="196">
        <v>102.0</v>
      </c>
      <c r="D111" s="166"/>
      <c r="E111" s="166"/>
      <c r="F111" s="201"/>
      <c r="G111" s="201"/>
      <c r="H111" s="198"/>
      <c r="I111" s="198"/>
    </row>
    <row r="112" ht="15.75" customHeight="1">
      <c r="C112" s="196">
        <v>103.0</v>
      </c>
      <c r="D112" s="166"/>
      <c r="E112" s="166"/>
      <c r="F112" s="201"/>
      <c r="G112" s="201"/>
      <c r="H112" s="198"/>
      <c r="I112" s="198"/>
    </row>
    <row r="113" ht="15.75" customHeight="1">
      <c r="C113" s="196">
        <v>104.0</v>
      </c>
      <c r="D113" s="166"/>
      <c r="E113" s="166"/>
      <c r="F113" s="201"/>
      <c r="G113" s="201"/>
      <c r="H113" s="198"/>
      <c r="I113" s="198"/>
    </row>
    <row r="114" ht="15.75" customHeight="1">
      <c r="C114" s="196">
        <v>105.0</v>
      </c>
      <c r="D114" s="166"/>
      <c r="E114" s="166"/>
      <c r="F114" s="201"/>
      <c r="G114" s="201"/>
      <c r="H114" s="198"/>
      <c r="I114" s="198"/>
    </row>
    <row r="115" ht="15.75" customHeight="1">
      <c r="C115" s="196">
        <v>106.0</v>
      </c>
      <c r="D115" s="166"/>
      <c r="E115" s="166"/>
      <c r="F115" s="201"/>
      <c r="G115" s="201"/>
      <c r="H115" s="198"/>
      <c r="I115" s="198"/>
    </row>
    <row r="116" ht="15.75" customHeight="1">
      <c r="C116" s="196">
        <v>107.0</v>
      </c>
      <c r="D116" s="166"/>
      <c r="E116" s="166"/>
      <c r="F116" s="201"/>
      <c r="G116" s="201"/>
      <c r="H116" s="198"/>
      <c r="I116" s="198"/>
    </row>
    <row r="117" ht="15.75" customHeight="1">
      <c r="C117" s="196">
        <v>108.0</v>
      </c>
      <c r="D117" s="166"/>
      <c r="E117" s="166"/>
      <c r="F117" s="201"/>
      <c r="G117" s="201"/>
      <c r="H117" s="198"/>
      <c r="I117" s="198"/>
    </row>
    <row r="118" ht="15.75" customHeight="1">
      <c r="C118" s="196">
        <v>109.0</v>
      </c>
      <c r="D118" s="166"/>
      <c r="E118" s="166"/>
      <c r="F118" s="201"/>
      <c r="G118" s="201"/>
      <c r="H118" s="198"/>
      <c r="I118" s="198"/>
    </row>
    <row r="119" ht="15.75" customHeight="1">
      <c r="C119" s="196">
        <v>110.0</v>
      </c>
      <c r="D119" s="166"/>
      <c r="E119" s="166"/>
      <c r="F119" s="201"/>
      <c r="G119" s="201"/>
      <c r="H119" s="198"/>
      <c r="I119" s="198"/>
    </row>
    <row r="120" ht="15.75" customHeight="1">
      <c r="C120" s="196">
        <v>111.0</v>
      </c>
      <c r="D120" s="166"/>
      <c r="E120" s="166"/>
      <c r="F120" s="201"/>
      <c r="G120" s="201"/>
      <c r="H120" s="198"/>
      <c r="I120" s="198"/>
    </row>
    <row r="121" ht="15.75" customHeight="1">
      <c r="C121" s="196">
        <v>112.0</v>
      </c>
      <c r="D121" s="166"/>
      <c r="E121" s="166"/>
      <c r="F121" s="201"/>
      <c r="G121" s="201"/>
      <c r="H121" s="198"/>
      <c r="I121" s="198"/>
    </row>
    <row r="122" ht="15.75" customHeight="1">
      <c r="C122" s="196">
        <v>113.0</v>
      </c>
      <c r="D122" s="166"/>
      <c r="E122" s="166"/>
      <c r="F122" s="201"/>
      <c r="G122" s="201"/>
      <c r="H122" s="198"/>
      <c r="I122" s="198"/>
    </row>
    <row r="123" ht="15.75" customHeight="1">
      <c r="C123" s="196">
        <v>114.0</v>
      </c>
      <c r="D123" s="166"/>
      <c r="E123" s="166"/>
      <c r="F123" s="201"/>
      <c r="G123" s="201"/>
      <c r="H123" s="198"/>
      <c r="I123" s="198"/>
    </row>
    <row r="124" ht="15.75" customHeight="1">
      <c r="C124" s="196">
        <v>115.0</v>
      </c>
      <c r="D124" s="166"/>
      <c r="E124" s="166"/>
      <c r="F124" s="201"/>
      <c r="G124" s="201"/>
      <c r="H124" s="198"/>
      <c r="I124" s="198"/>
    </row>
    <row r="125" ht="15.75" customHeight="1">
      <c r="C125" s="196">
        <v>116.0</v>
      </c>
      <c r="D125" s="166"/>
      <c r="E125" s="166"/>
      <c r="F125" s="201"/>
      <c r="G125" s="201"/>
      <c r="H125" s="198"/>
      <c r="I125" s="198"/>
    </row>
    <row r="126" ht="15.75" customHeight="1">
      <c r="C126" s="196">
        <v>117.0</v>
      </c>
      <c r="D126" s="166"/>
      <c r="E126" s="166"/>
      <c r="F126" s="201"/>
      <c r="G126" s="201"/>
      <c r="H126" s="198"/>
      <c r="I126" s="198"/>
    </row>
    <row r="127" ht="15.75" customHeight="1">
      <c r="C127" s="196">
        <v>118.0</v>
      </c>
      <c r="D127" s="166"/>
      <c r="E127" s="166"/>
      <c r="F127" s="201"/>
      <c r="G127" s="201"/>
      <c r="H127" s="198"/>
      <c r="I127" s="198"/>
    </row>
    <row r="128" ht="15.75" customHeight="1">
      <c r="C128" s="196">
        <v>119.0</v>
      </c>
      <c r="D128" s="166"/>
      <c r="E128" s="166"/>
      <c r="F128" s="201"/>
      <c r="G128" s="201"/>
      <c r="H128" s="198"/>
      <c r="I128" s="198"/>
    </row>
    <row r="129" ht="15.75" customHeight="1">
      <c r="C129" s="196">
        <v>120.0</v>
      </c>
      <c r="D129" s="166"/>
      <c r="E129" s="166"/>
      <c r="F129" s="201"/>
      <c r="G129" s="201"/>
      <c r="H129" s="198"/>
      <c r="I129" s="198"/>
    </row>
    <row r="130" ht="15.75" customHeight="1">
      <c r="C130" s="196">
        <v>121.0</v>
      </c>
      <c r="D130" s="166"/>
      <c r="E130" s="166"/>
      <c r="F130" s="201"/>
      <c r="G130" s="201"/>
      <c r="H130" s="198"/>
      <c r="I130" s="198"/>
    </row>
    <row r="131" ht="15.75" customHeight="1">
      <c r="C131" s="196">
        <v>122.0</v>
      </c>
      <c r="D131" s="166"/>
      <c r="E131" s="166"/>
      <c r="F131" s="201"/>
      <c r="G131" s="201"/>
      <c r="H131" s="198"/>
      <c r="I131" s="198"/>
    </row>
    <row r="132" ht="15.75" customHeight="1">
      <c r="C132" s="196">
        <v>123.0</v>
      </c>
      <c r="D132" s="166"/>
      <c r="E132" s="166"/>
      <c r="F132" s="201"/>
      <c r="G132" s="201"/>
      <c r="H132" s="198"/>
      <c r="I132" s="198"/>
    </row>
    <row r="133" ht="15.75" customHeight="1">
      <c r="C133" s="196">
        <v>124.0</v>
      </c>
      <c r="D133" s="166"/>
      <c r="E133" s="166"/>
      <c r="F133" s="201"/>
      <c r="G133" s="201"/>
      <c r="H133" s="198"/>
      <c r="I133" s="198"/>
    </row>
    <row r="134" ht="15.75" customHeight="1">
      <c r="C134" s="196">
        <v>125.0</v>
      </c>
      <c r="D134" s="166"/>
      <c r="E134" s="166"/>
      <c r="F134" s="201"/>
      <c r="G134" s="201"/>
      <c r="H134" s="198"/>
      <c r="I134" s="198"/>
    </row>
    <row r="135" ht="15.75" customHeight="1">
      <c r="C135" s="196">
        <v>126.0</v>
      </c>
      <c r="D135" s="166"/>
      <c r="E135" s="166"/>
      <c r="F135" s="201"/>
      <c r="G135" s="201"/>
      <c r="H135" s="198"/>
      <c r="I135" s="198"/>
    </row>
    <row r="136" ht="15.75" customHeight="1">
      <c r="C136" s="196">
        <v>127.0</v>
      </c>
      <c r="D136" s="166"/>
      <c r="E136" s="166"/>
      <c r="F136" s="201"/>
      <c r="G136" s="201"/>
      <c r="H136" s="198"/>
      <c r="I136" s="198"/>
    </row>
    <row r="137" ht="15.75" customHeight="1">
      <c r="C137" s="196">
        <v>128.0</v>
      </c>
      <c r="D137" s="166"/>
      <c r="E137" s="166"/>
      <c r="F137" s="201"/>
      <c r="G137" s="201"/>
      <c r="H137" s="198"/>
      <c r="I137" s="198"/>
    </row>
    <row r="138" ht="15.75" customHeight="1">
      <c r="C138" s="196">
        <v>129.0</v>
      </c>
      <c r="D138" s="166"/>
      <c r="E138" s="166"/>
      <c r="F138" s="201"/>
      <c r="G138" s="201"/>
      <c r="H138" s="198"/>
      <c r="I138" s="198"/>
    </row>
    <row r="139" ht="15.75" customHeight="1">
      <c r="C139" s="196">
        <v>130.0</v>
      </c>
      <c r="D139" s="166"/>
      <c r="E139" s="166"/>
      <c r="F139" s="201"/>
      <c r="G139" s="201"/>
      <c r="H139" s="198"/>
      <c r="I139" s="198"/>
    </row>
    <row r="140" ht="15.75" customHeight="1">
      <c r="C140" s="196">
        <v>131.0</v>
      </c>
      <c r="D140" s="166"/>
      <c r="E140" s="166"/>
      <c r="F140" s="201"/>
      <c r="G140" s="201"/>
      <c r="H140" s="198"/>
      <c r="I140" s="198"/>
    </row>
    <row r="141" ht="15.75" customHeight="1">
      <c r="C141" s="196">
        <v>132.0</v>
      </c>
      <c r="D141" s="166"/>
      <c r="E141" s="166"/>
      <c r="F141" s="201"/>
      <c r="G141" s="201"/>
      <c r="H141" s="198"/>
      <c r="I141" s="198"/>
    </row>
    <row r="142" ht="15.75" customHeight="1">
      <c r="C142" s="196">
        <v>133.0</v>
      </c>
      <c r="D142" s="166"/>
      <c r="E142" s="166"/>
      <c r="F142" s="201"/>
      <c r="G142" s="201"/>
      <c r="H142" s="198"/>
      <c r="I142" s="198"/>
    </row>
    <row r="143" ht="15.75" customHeight="1">
      <c r="C143" s="196">
        <v>134.0</v>
      </c>
      <c r="D143" s="166"/>
      <c r="E143" s="166"/>
      <c r="F143" s="201"/>
      <c r="G143" s="201"/>
      <c r="H143" s="198"/>
      <c r="I143" s="198"/>
    </row>
    <row r="144" ht="15.75" customHeight="1">
      <c r="C144" s="196">
        <v>135.0</v>
      </c>
      <c r="D144" s="166"/>
      <c r="E144" s="166"/>
      <c r="F144" s="201"/>
      <c r="G144" s="201"/>
      <c r="H144" s="198"/>
      <c r="I144" s="198"/>
    </row>
    <row r="145" ht="15.75" customHeight="1">
      <c r="C145" s="196">
        <v>136.0</v>
      </c>
      <c r="D145" s="166"/>
      <c r="E145" s="166"/>
      <c r="F145" s="201"/>
      <c r="G145" s="201"/>
      <c r="H145" s="198"/>
      <c r="I145" s="198"/>
    </row>
    <row r="146" ht="15.75" customHeight="1">
      <c r="C146" s="196">
        <v>137.0</v>
      </c>
      <c r="D146" s="166"/>
      <c r="E146" s="166"/>
      <c r="F146" s="201"/>
      <c r="G146" s="201"/>
      <c r="H146" s="198"/>
      <c r="I146" s="198"/>
    </row>
    <row r="147" ht="15.75" customHeight="1">
      <c r="C147" s="196">
        <v>138.0</v>
      </c>
      <c r="D147" s="166"/>
      <c r="E147" s="166"/>
      <c r="F147" s="201"/>
      <c r="G147" s="201"/>
      <c r="H147" s="198"/>
      <c r="I147" s="198"/>
    </row>
    <row r="148" ht="15.75" customHeight="1">
      <c r="C148" s="196">
        <v>139.0</v>
      </c>
      <c r="D148" s="166"/>
      <c r="E148" s="166"/>
      <c r="F148" s="201"/>
      <c r="G148" s="201"/>
      <c r="H148" s="198"/>
      <c r="I148" s="198"/>
    </row>
    <row r="149" ht="15.75" customHeight="1">
      <c r="C149" s="196">
        <v>140.0</v>
      </c>
      <c r="D149" s="166"/>
      <c r="E149" s="166"/>
      <c r="F149" s="201"/>
      <c r="G149" s="201"/>
      <c r="H149" s="198"/>
      <c r="I149" s="198"/>
    </row>
    <row r="150" ht="15.75" customHeight="1">
      <c r="C150" s="196">
        <v>141.0</v>
      </c>
      <c r="D150" s="166"/>
      <c r="E150" s="166"/>
      <c r="F150" s="201"/>
      <c r="G150" s="201"/>
      <c r="H150" s="198"/>
      <c r="I150" s="198"/>
    </row>
    <row r="151" ht="15.75" customHeight="1">
      <c r="C151" s="196">
        <v>142.0</v>
      </c>
      <c r="D151" s="166"/>
      <c r="E151" s="166"/>
      <c r="F151" s="201"/>
      <c r="G151" s="201"/>
      <c r="H151" s="198"/>
      <c r="I151" s="198"/>
    </row>
    <row r="152" ht="15.75" customHeight="1">
      <c r="C152" s="196">
        <v>143.0</v>
      </c>
      <c r="D152" s="166"/>
      <c r="E152" s="166"/>
      <c r="F152" s="201"/>
      <c r="G152" s="201"/>
      <c r="H152" s="198"/>
      <c r="I152" s="198"/>
    </row>
    <row r="153" ht="15.75" customHeight="1">
      <c r="C153" s="196">
        <v>144.0</v>
      </c>
      <c r="D153" s="166"/>
      <c r="E153" s="166"/>
      <c r="F153" s="201"/>
      <c r="G153" s="201"/>
      <c r="H153" s="198"/>
      <c r="I153" s="198"/>
    </row>
    <row r="154" ht="15.75" customHeight="1">
      <c r="C154" s="196">
        <v>145.0</v>
      </c>
      <c r="D154" s="166"/>
      <c r="E154" s="166"/>
      <c r="F154" s="201"/>
      <c r="G154" s="201"/>
      <c r="H154" s="198"/>
      <c r="I154" s="198"/>
    </row>
    <row r="155" ht="15.75" customHeight="1">
      <c r="C155" s="196">
        <v>146.0</v>
      </c>
      <c r="D155" s="166"/>
      <c r="E155" s="166"/>
      <c r="F155" s="201"/>
      <c r="G155" s="201"/>
      <c r="H155" s="198"/>
      <c r="I155" s="198"/>
    </row>
    <row r="156" ht="15.75" customHeight="1">
      <c r="C156" s="196">
        <v>147.0</v>
      </c>
      <c r="D156" s="166"/>
      <c r="E156" s="166"/>
      <c r="F156" s="201"/>
      <c r="G156" s="201"/>
      <c r="H156" s="198"/>
      <c r="I156" s="198"/>
    </row>
    <row r="157" ht="15.75" customHeight="1">
      <c r="C157" s="196">
        <v>148.0</v>
      </c>
      <c r="D157" s="166"/>
      <c r="E157" s="166"/>
      <c r="F157" s="201"/>
      <c r="G157" s="201"/>
      <c r="H157" s="198"/>
      <c r="I157" s="198"/>
    </row>
    <row r="158" ht="15.75" customHeight="1">
      <c r="C158" s="196">
        <v>149.0</v>
      </c>
      <c r="D158" s="166"/>
      <c r="E158" s="166"/>
      <c r="F158" s="201"/>
      <c r="G158" s="201"/>
      <c r="H158" s="198"/>
      <c r="I158" s="198"/>
    </row>
    <row r="159" ht="15.75" customHeight="1">
      <c r="C159" s="196">
        <v>150.0</v>
      </c>
      <c r="D159" s="166"/>
      <c r="E159" s="166"/>
      <c r="F159" s="201"/>
      <c r="G159" s="201"/>
      <c r="H159" s="198"/>
      <c r="I159" s="198"/>
    </row>
    <row r="160" ht="15.75" customHeight="1">
      <c r="C160" s="196">
        <v>151.0</v>
      </c>
      <c r="D160" s="166"/>
      <c r="E160" s="166"/>
      <c r="F160" s="201"/>
      <c r="G160" s="201"/>
      <c r="H160" s="198"/>
      <c r="I160" s="198"/>
    </row>
    <row r="161" ht="15.75" customHeight="1">
      <c r="C161" s="196">
        <v>152.0</v>
      </c>
      <c r="D161" s="166"/>
      <c r="E161" s="166"/>
      <c r="F161" s="201"/>
      <c r="G161" s="201"/>
      <c r="H161" s="198"/>
      <c r="I161" s="198"/>
    </row>
    <row r="162" ht="15.75" customHeight="1">
      <c r="C162" s="196">
        <v>153.0</v>
      </c>
      <c r="D162" s="166"/>
      <c r="E162" s="166"/>
      <c r="F162" s="201"/>
      <c r="G162" s="201"/>
      <c r="H162" s="198"/>
      <c r="I162" s="198"/>
    </row>
    <row r="163" ht="15.75" customHeight="1">
      <c r="C163" s="196">
        <v>154.0</v>
      </c>
      <c r="D163" s="166"/>
      <c r="E163" s="166"/>
      <c r="F163" s="201"/>
      <c r="G163" s="201"/>
      <c r="H163" s="198"/>
      <c r="I163" s="198"/>
    </row>
    <row r="164" ht="15.75" customHeight="1">
      <c r="C164" s="196">
        <v>155.0</v>
      </c>
      <c r="D164" s="166"/>
      <c r="E164" s="166"/>
      <c r="F164" s="201"/>
      <c r="G164" s="201"/>
      <c r="H164" s="198"/>
      <c r="I164" s="198"/>
    </row>
    <row r="165" ht="15.75" customHeight="1">
      <c r="C165" s="196">
        <v>156.0</v>
      </c>
      <c r="D165" s="166"/>
      <c r="E165" s="166"/>
      <c r="F165" s="201"/>
      <c r="G165" s="201"/>
      <c r="H165" s="198"/>
      <c r="I165" s="198"/>
    </row>
    <row r="166" ht="15.75" customHeight="1">
      <c r="C166" s="196">
        <v>157.0</v>
      </c>
      <c r="D166" s="166"/>
      <c r="E166" s="166"/>
      <c r="F166" s="201"/>
      <c r="G166" s="201"/>
      <c r="H166" s="198"/>
      <c r="I166" s="198"/>
    </row>
    <row r="167" ht="15.75" customHeight="1">
      <c r="C167" s="196">
        <v>158.0</v>
      </c>
      <c r="D167" s="166"/>
      <c r="E167" s="166"/>
      <c r="F167" s="201"/>
      <c r="G167" s="201"/>
      <c r="H167" s="198"/>
      <c r="I167" s="198"/>
    </row>
    <row r="168" ht="15.75" customHeight="1">
      <c r="C168" s="196">
        <v>159.0</v>
      </c>
      <c r="D168" s="166"/>
      <c r="E168" s="166"/>
      <c r="F168" s="201"/>
      <c r="G168" s="201"/>
      <c r="H168" s="198"/>
      <c r="I168" s="198"/>
    </row>
    <row r="169" ht="15.75" customHeight="1">
      <c r="C169" s="196">
        <v>160.0</v>
      </c>
      <c r="D169" s="166"/>
      <c r="E169" s="166"/>
      <c r="F169" s="201"/>
      <c r="G169" s="201"/>
      <c r="H169" s="198"/>
      <c r="I169" s="198"/>
    </row>
    <row r="170" ht="15.75" customHeight="1">
      <c r="C170" s="196">
        <v>161.0</v>
      </c>
      <c r="D170" s="166"/>
      <c r="E170" s="166"/>
      <c r="F170" s="201"/>
      <c r="G170" s="201"/>
      <c r="H170" s="198"/>
      <c r="I170" s="198"/>
    </row>
    <row r="171" ht="15.75" customHeight="1">
      <c r="C171" s="196">
        <v>162.0</v>
      </c>
      <c r="D171" s="166"/>
      <c r="E171" s="166"/>
      <c r="F171" s="201"/>
      <c r="G171" s="201"/>
      <c r="H171" s="198"/>
      <c r="I171" s="198"/>
    </row>
    <row r="172" ht="15.75" customHeight="1">
      <c r="C172" s="196">
        <v>163.0</v>
      </c>
      <c r="D172" s="166"/>
      <c r="E172" s="166"/>
      <c r="F172" s="201"/>
      <c r="G172" s="201"/>
      <c r="H172" s="198"/>
      <c r="I172" s="198"/>
    </row>
    <row r="173" ht="15.75" customHeight="1">
      <c r="C173" s="196">
        <v>164.0</v>
      </c>
      <c r="D173" s="166"/>
      <c r="E173" s="166"/>
      <c r="F173" s="201"/>
      <c r="G173" s="201"/>
      <c r="H173" s="198"/>
      <c r="I173" s="198"/>
    </row>
    <row r="174" ht="15.75" customHeight="1">
      <c r="C174" s="196">
        <v>165.0</v>
      </c>
      <c r="D174" s="166"/>
      <c r="E174" s="166"/>
      <c r="F174" s="201"/>
      <c r="G174" s="201"/>
      <c r="H174" s="198"/>
      <c r="I174" s="198"/>
    </row>
    <row r="175" ht="15.75" customHeight="1">
      <c r="C175" s="196">
        <v>166.0</v>
      </c>
      <c r="D175" s="166"/>
      <c r="E175" s="166"/>
      <c r="F175" s="201"/>
      <c r="G175" s="201"/>
      <c r="H175" s="198"/>
      <c r="I175" s="198"/>
    </row>
    <row r="176" ht="15.75" customHeight="1">
      <c r="C176" s="196">
        <v>167.0</v>
      </c>
      <c r="D176" s="166"/>
      <c r="E176" s="166"/>
      <c r="F176" s="201"/>
      <c r="G176" s="201"/>
      <c r="H176" s="198"/>
      <c r="I176" s="198"/>
    </row>
    <row r="177" ht="15.75" customHeight="1">
      <c r="C177" s="196">
        <v>168.0</v>
      </c>
      <c r="D177" s="166"/>
      <c r="E177" s="166"/>
      <c r="F177" s="201"/>
      <c r="G177" s="201"/>
      <c r="H177" s="198"/>
      <c r="I177" s="198"/>
    </row>
    <row r="178" ht="15.75" customHeight="1">
      <c r="C178" s="196">
        <v>169.0</v>
      </c>
      <c r="D178" s="166"/>
      <c r="E178" s="166"/>
      <c r="F178" s="201"/>
      <c r="G178" s="201"/>
      <c r="H178" s="198"/>
      <c r="I178" s="198"/>
    </row>
    <row r="179" ht="15.75" customHeight="1">
      <c r="C179" s="196">
        <v>170.0</v>
      </c>
      <c r="D179" s="166"/>
      <c r="E179" s="166"/>
      <c r="F179" s="201"/>
      <c r="G179" s="201"/>
      <c r="H179" s="198"/>
      <c r="I179" s="198"/>
    </row>
    <row r="180" ht="15.75" customHeight="1">
      <c r="C180" s="196">
        <v>171.0</v>
      </c>
      <c r="D180" s="166"/>
      <c r="E180" s="166"/>
      <c r="F180" s="201"/>
      <c r="G180" s="201"/>
      <c r="H180" s="198"/>
      <c r="I180" s="198"/>
    </row>
    <row r="181" ht="15.75" customHeight="1">
      <c r="C181" s="196">
        <v>172.0</v>
      </c>
      <c r="D181" s="166"/>
      <c r="E181" s="166"/>
      <c r="F181" s="201"/>
      <c r="G181" s="201"/>
      <c r="H181" s="198"/>
      <c r="I181" s="198"/>
    </row>
    <row r="182" ht="15.75" customHeight="1">
      <c r="C182" s="196">
        <v>173.0</v>
      </c>
      <c r="D182" s="166"/>
      <c r="E182" s="166"/>
      <c r="F182" s="201"/>
      <c r="G182" s="201"/>
      <c r="H182" s="198"/>
      <c r="I182" s="198"/>
    </row>
    <row r="183" ht="15.75" customHeight="1">
      <c r="C183" s="196">
        <v>174.0</v>
      </c>
      <c r="D183" s="166"/>
      <c r="E183" s="166"/>
      <c r="F183" s="201"/>
      <c r="G183" s="201"/>
      <c r="H183" s="198"/>
      <c r="I183" s="198"/>
    </row>
    <row r="184" ht="15.75" customHeight="1">
      <c r="C184" s="196">
        <v>175.0</v>
      </c>
      <c r="D184" s="166"/>
      <c r="E184" s="166"/>
      <c r="F184" s="201"/>
      <c r="G184" s="201"/>
      <c r="H184" s="198"/>
      <c r="I184" s="198"/>
    </row>
    <row r="185" ht="15.75" customHeight="1">
      <c r="C185" s="196">
        <v>176.0</v>
      </c>
      <c r="D185" s="166"/>
      <c r="E185" s="166"/>
      <c r="F185" s="201"/>
      <c r="G185" s="201"/>
      <c r="H185" s="198"/>
      <c r="I185" s="198"/>
    </row>
    <row r="186" ht="15.75" customHeight="1">
      <c r="C186" s="196">
        <v>177.0</v>
      </c>
      <c r="D186" s="166"/>
      <c r="E186" s="166"/>
      <c r="F186" s="201"/>
      <c r="G186" s="201"/>
      <c r="H186" s="198"/>
      <c r="I186" s="198"/>
    </row>
    <row r="187" ht="15.75" customHeight="1">
      <c r="C187" s="196">
        <v>178.0</v>
      </c>
      <c r="D187" s="166"/>
      <c r="E187" s="166"/>
      <c r="F187" s="201"/>
      <c r="G187" s="201"/>
      <c r="H187" s="198"/>
      <c r="I187" s="198"/>
    </row>
    <row r="188" ht="15.75" customHeight="1">
      <c r="C188" s="196">
        <v>179.0</v>
      </c>
      <c r="D188" s="166"/>
      <c r="E188" s="166"/>
      <c r="F188" s="201"/>
      <c r="G188" s="201"/>
      <c r="H188" s="198"/>
      <c r="I188" s="198"/>
    </row>
    <row r="189" ht="15.75" customHeight="1">
      <c r="C189" s="196">
        <v>180.0</v>
      </c>
      <c r="D189" s="166"/>
      <c r="E189" s="166"/>
      <c r="F189" s="201"/>
      <c r="G189" s="201"/>
      <c r="H189" s="198"/>
      <c r="I189" s="198"/>
    </row>
    <row r="190" ht="15.75" customHeight="1">
      <c r="C190" s="196">
        <v>181.0</v>
      </c>
      <c r="D190" s="166"/>
      <c r="E190" s="166"/>
      <c r="F190" s="201"/>
      <c r="G190" s="201"/>
      <c r="H190" s="198"/>
      <c r="I190" s="198"/>
    </row>
    <row r="191" ht="15.75" customHeight="1">
      <c r="C191" s="196">
        <v>182.0</v>
      </c>
      <c r="D191" s="166"/>
      <c r="E191" s="166"/>
      <c r="F191" s="201"/>
      <c r="G191" s="201"/>
      <c r="H191" s="198"/>
      <c r="I191" s="198"/>
    </row>
    <row r="192" ht="15.75" customHeight="1">
      <c r="C192" s="196">
        <v>183.0</v>
      </c>
      <c r="D192" s="166"/>
      <c r="E192" s="166"/>
      <c r="F192" s="201"/>
      <c r="G192" s="201"/>
      <c r="H192" s="198"/>
      <c r="I192" s="198"/>
    </row>
    <row r="193" ht="15.75" customHeight="1">
      <c r="C193" s="196">
        <v>184.0</v>
      </c>
      <c r="D193" s="166"/>
      <c r="E193" s="166"/>
      <c r="F193" s="201"/>
      <c r="G193" s="201"/>
      <c r="H193" s="198"/>
      <c r="I193" s="198"/>
    </row>
    <row r="194" ht="15.75" customHeight="1">
      <c r="C194" s="196">
        <v>185.0</v>
      </c>
      <c r="D194" s="166"/>
      <c r="E194" s="166"/>
      <c r="F194" s="201"/>
      <c r="G194" s="201"/>
      <c r="H194" s="198"/>
      <c r="I194" s="198"/>
    </row>
    <row r="195" ht="15.75" customHeight="1">
      <c r="C195" s="196">
        <v>186.0</v>
      </c>
      <c r="D195" s="166"/>
      <c r="E195" s="166"/>
      <c r="F195" s="201"/>
      <c r="G195" s="201"/>
      <c r="H195" s="198"/>
      <c r="I195" s="198"/>
    </row>
    <row r="196" ht="15.75" customHeight="1">
      <c r="C196" s="196">
        <v>187.0</v>
      </c>
      <c r="D196" s="166"/>
      <c r="E196" s="166"/>
      <c r="F196" s="201"/>
      <c r="G196" s="201"/>
      <c r="H196" s="198"/>
      <c r="I196" s="198"/>
    </row>
    <row r="197" ht="15.75" customHeight="1">
      <c r="C197" s="196">
        <v>188.0</v>
      </c>
      <c r="D197" s="166"/>
      <c r="E197" s="166"/>
      <c r="F197" s="201"/>
      <c r="G197" s="201"/>
      <c r="H197" s="198"/>
      <c r="I197" s="198"/>
    </row>
    <row r="198" ht="15.75" customHeight="1">
      <c r="C198" s="196">
        <v>189.0</v>
      </c>
      <c r="D198" s="166"/>
      <c r="E198" s="166"/>
      <c r="F198" s="201"/>
      <c r="G198" s="201"/>
      <c r="H198" s="198"/>
      <c r="I198" s="198"/>
    </row>
    <row r="199" ht="15.75" customHeight="1">
      <c r="C199" s="196">
        <v>190.0</v>
      </c>
      <c r="D199" s="166"/>
      <c r="E199" s="166"/>
      <c r="F199" s="201"/>
      <c r="G199" s="201"/>
      <c r="H199" s="198"/>
      <c r="I199" s="198"/>
    </row>
    <row r="200" ht="15.75" customHeight="1">
      <c r="C200" s="196">
        <v>191.0</v>
      </c>
      <c r="D200" s="166"/>
      <c r="E200" s="166"/>
      <c r="F200" s="201"/>
      <c r="G200" s="201"/>
      <c r="H200" s="198"/>
      <c r="I200" s="198"/>
    </row>
    <row r="201" ht="15.75" customHeight="1">
      <c r="C201" s="196">
        <v>192.0</v>
      </c>
      <c r="D201" s="166"/>
      <c r="E201" s="166"/>
      <c r="F201" s="201"/>
      <c r="G201" s="201"/>
      <c r="H201" s="198"/>
      <c r="I201" s="198"/>
    </row>
    <row r="202" ht="15.75" customHeight="1">
      <c r="C202" s="196">
        <v>193.0</v>
      </c>
      <c r="D202" s="166"/>
      <c r="E202" s="166"/>
      <c r="F202" s="201"/>
      <c r="G202" s="201"/>
      <c r="H202" s="198"/>
      <c r="I202" s="198"/>
    </row>
    <row r="203" ht="15.75" customHeight="1">
      <c r="C203" s="196">
        <v>194.0</v>
      </c>
      <c r="D203" s="166"/>
      <c r="E203" s="166"/>
      <c r="F203" s="201"/>
      <c r="G203" s="201"/>
      <c r="H203" s="198"/>
      <c r="I203" s="198"/>
    </row>
    <row r="204" ht="15.75" customHeight="1">
      <c r="C204" s="196">
        <v>195.0</v>
      </c>
      <c r="D204" s="166"/>
      <c r="E204" s="166"/>
      <c r="F204" s="201"/>
      <c r="G204" s="201"/>
      <c r="H204" s="198"/>
      <c r="I204" s="198"/>
    </row>
    <row r="205" ht="15.75" customHeight="1">
      <c r="C205" s="196">
        <v>196.0</v>
      </c>
      <c r="D205" s="166"/>
      <c r="E205" s="166"/>
      <c r="F205" s="201"/>
      <c r="G205" s="201"/>
      <c r="H205" s="198"/>
      <c r="I205" s="198"/>
    </row>
    <row r="206" ht="15.75" customHeight="1">
      <c r="C206" s="196">
        <v>197.0</v>
      </c>
      <c r="D206" s="166"/>
      <c r="E206" s="166"/>
      <c r="F206" s="201"/>
      <c r="G206" s="201"/>
      <c r="H206" s="198"/>
      <c r="I206" s="198"/>
    </row>
    <row r="207" ht="15.75" customHeight="1">
      <c r="C207" s="196">
        <v>198.0</v>
      </c>
      <c r="D207" s="166"/>
      <c r="E207" s="166"/>
      <c r="F207" s="201"/>
      <c r="G207" s="201"/>
      <c r="H207" s="198"/>
      <c r="I207" s="198"/>
    </row>
    <row r="208" ht="15.75" customHeight="1">
      <c r="C208" s="196">
        <v>199.0</v>
      </c>
      <c r="D208" s="166"/>
      <c r="E208" s="166"/>
      <c r="F208" s="201"/>
      <c r="G208" s="201"/>
      <c r="H208" s="198"/>
      <c r="I208" s="198"/>
    </row>
    <row r="209" ht="15.75" customHeight="1">
      <c r="C209" s="196">
        <v>200.0</v>
      </c>
      <c r="D209" s="166"/>
      <c r="E209" s="166"/>
      <c r="F209" s="201"/>
      <c r="G209" s="201"/>
      <c r="H209" s="198"/>
      <c r="I209" s="198"/>
    </row>
    <row r="210" ht="15.75" customHeight="1">
      <c r="C210" s="196">
        <v>201.0</v>
      </c>
      <c r="D210" s="166"/>
      <c r="E210" s="166"/>
      <c r="F210" s="201"/>
      <c r="G210" s="201"/>
      <c r="H210" s="198"/>
      <c r="I210" s="198"/>
    </row>
    <row r="211" ht="15.75" customHeight="1">
      <c r="C211" s="196">
        <v>202.0</v>
      </c>
      <c r="D211" s="166"/>
      <c r="E211" s="166"/>
      <c r="F211" s="201"/>
      <c r="G211" s="201"/>
      <c r="H211" s="198"/>
      <c r="I211" s="198"/>
    </row>
    <row r="212" ht="15.75" customHeight="1">
      <c r="C212" s="196">
        <v>203.0</v>
      </c>
      <c r="D212" s="166"/>
      <c r="E212" s="166"/>
      <c r="F212" s="201"/>
      <c r="G212" s="201"/>
      <c r="H212" s="198"/>
      <c r="I212" s="198"/>
    </row>
    <row r="213" ht="15.75" customHeight="1">
      <c r="C213" s="196">
        <v>204.0</v>
      </c>
      <c r="D213" s="166"/>
      <c r="E213" s="166"/>
      <c r="F213" s="201"/>
      <c r="G213" s="201"/>
      <c r="H213" s="198"/>
      <c r="I213" s="198"/>
    </row>
    <row r="214" ht="15.75" customHeight="1">
      <c r="C214" s="196">
        <v>205.0</v>
      </c>
      <c r="D214" s="166"/>
      <c r="E214" s="166"/>
      <c r="F214" s="201"/>
      <c r="G214" s="201"/>
      <c r="H214" s="198"/>
      <c r="I214" s="198"/>
    </row>
    <row r="215" ht="15.75" customHeight="1">
      <c r="C215" s="196">
        <v>206.0</v>
      </c>
      <c r="D215" s="166"/>
      <c r="E215" s="166"/>
      <c r="F215" s="201"/>
      <c r="G215" s="201"/>
      <c r="H215" s="198"/>
      <c r="I215" s="198"/>
    </row>
    <row r="216" ht="15.75" customHeight="1">
      <c r="C216" s="196">
        <v>207.0</v>
      </c>
      <c r="D216" s="166"/>
      <c r="E216" s="166"/>
      <c r="F216" s="201"/>
      <c r="G216" s="201"/>
      <c r="H216" s="198"/>
      <c r="I216" s="198"/>
    </row>
    <row r="217" ht="15.75" customHeight="1">
      <c r="C217" s="196">
        <v>208.0</v>
      </c>
      <c r="D217" s="166"/>
      <c r="E217" s="166"/>
      <c r="F217" s="201"/>
      <c r="G217" s="201"/>
      <c r="H217" s="198"/>
      <c r="I217" s="198"/>
    </row>
    <row r="218" ht="15.75" customHeight="1">
      <c r="C218" s="196">
        <v>209.0</v>
      </c>
      <c r="D218" s="166"/>
      <c r="E218" s="166"/>
      <c r="F218" s="201"/>
      <c r="G218" s="201"/>
      <c r="H218" s="198"/>
      <c r="I218" s="198"/>
    </row>
    <row r="219" ht="15.75" customHeight="1">
      <c r="C219" s="196">
        <v>210.0</v>
      </c>
      <c r="D219" s="166"/>
      <c r="E219" s="166"/>
      <c r="F219" s="201"/>
      <c r="G219" s="201"/>
      <c r="H219" s="198"/>
      <c r="I219" s="198"/>
    </row>
    <row r="220" ht="15.75" customHeight="1">
      <c r="C220" s="196">
        <v>211.0</v>
      </c>
      <c r="D220" s="166"/>
      <c r="E220" s="166"/>
      <c r="F220" s="201"/>
      <c r="G220" s="201"/>
      <c r="H220" s="198"/>
      <c r="I220" s="198"/>
    </row>
    <row r="221" ht="15.75" customHeight="1">
      <c r="C221" s="196">
        <v>212.0</v>
      </c>
      <c r="D221" s="166"/>
      <c r="E221" s="166"/>
      <c r="F221" s="201"/>
      <c r="G221" s="201"/>
      <c r="H221" s="198"/>
      <c r="I221" s="198"/>
    </row>
    <row r="222" ht="15.75" customHeight="1">
      <c r="C222" s="196">
        <v>213.0</v>
      </c>
      <c r="D222" s="166"/>
      <c r="E222" s="166"/>
      <c r="F222" s="201"/>
      <c r="G222" s="201"/>
      <c r="H222" s="198"/>
      <c r="I222" s="198"/>
    </row>
    <row r="223" ht="15.75" customHeight="1">
      <c r="C223" s="196">
        <v>214.0</v>
      </c>
      <c r="D223" s="166"/>
      <c r="E223" s="166"/>
      <c r="F223" s="201"/>
      <c r="G223" s="201"/>
      <c r="H223" s="198"/>
      <c r="I223" s="198"/>
    </row>
    <row r="224" ht="15.75" customHeight="1">
      <c r="C224" s="196">
        <v>215.0</v>
      </c>
      <c r="D224" s="166"/>
      <c r="E224" s="166"/>
      <c r="F224" s="201"/>
      <c r="G224" s="201"/>
      <c r="H224" s="198"/>
      <c r="I224" s="198"/>
    </row>
    <row r="225" ht="15.75" customHeight="1">
      <c r="C225" s="196">
        <v>216.0</v>
      </c>
      <c r="D225" s="166"/>
      <c r="E225" s="166"/>
      <c r="F225" s="201"/>
      <c r="G225" s="201"/>
      <c r="H225" s="198"/>
      <c r="I225" s="198"/>
    </row>
    <row r="226" ht="15.75" customHeight="1">
      <c r="C226" s="196">
        <v>217.0</v>
      </c>
      <c r="D226" s="166"/>
      <c r="E226" s="166"/>
      <c r="F226" s="201"/>
      <c r="G226" s="201"/>
      <c r="H226" s="198"/>
      <c r="I226" s="198"/>
    </row>
    <row r="227" ht="15.75" customHeight="1">
      <c r="C227" s="196">
        <v>218.0</v>
      </c>
      <c r="D227" s="166"/>
      <c r="E227" s="166"/>
      <c r="F227" s="201"/>
      <c r="G227" s="201"/>
      <c r="H227" s="198"/>
      <c r="I227" s="198"/>
    </row>
    <row r="228" ht="15.75" customHeight="1">
      <c r="C228" s="196">
        <v>219.0</v>
      </c>
      <c r="D228" s="166"/>
      <c r="E228" s="166"/>
      <c r="F228" s="201"/>
      <c r="G228" s="201"/>
      <c r="H228" s="198"/>
      <c r="I228" s="198"/>
    </row>
    <row r="229" ht="15.75" customHeight="1">
      <c r="C229" s="196">
        <v>220.0</v>
      </c>
      <c r="D229" s="166"/>
      <c r="E229" s="166"/>
      <c r="F229" s="201"/>
      <c r="G229" s="201"/>
      <c r="H229" s="198"/>
      <c r="I229" s="198"/>
    </row>
    <row r="230" ht="15.75" customHeight="1">
      <c r="C230" s="196">
        <v>221.0</v>
      </c>
      <c r="D230" s="166"/>
      <c r="E230" s="166"/>
      <c r="F230" s="201"/>
      <c r="G230" s="201"/>
      <c r="H230" s="198"/>
      <c r="I230" s="198"/>
    </row>
    <row r="231" ht="15.75" customHeight="1">
      <c r="C231" s="196">
        <v>222.0</v>
      </c>
      <c r="D231" s="166"/>
      <c r="E231" s="166"/>
      <c r="F231" s="201"/>
      <c r="G231" s="201"/>
      <c r="H231" s="198"/>
      <c r="I231" s="198"/>
    </row>
    <row r="232" ht="15.75" customHeight="1">
      <c r="C232" s="196">
        <v>223.0</v>
      </c>
      <c r="D232" s="166"/>
      <c r="E232" s="166"/>
      <c r="F232" s="201"/>
      <c r="G232" s="201"/>
      <c r="H232" s="198"/>
      <c r="I232" s="198"/>
    </row>
    <row r="233" ht="15.75" customHeight="1">
      <c r="C233" s="196">
        <v>224.0</v>
      </c>
      <c r="D233" s="166"/>
      <c r="E233" s="166"/>
      <c r="F233" s="201"/>
      <c r="G233" s="201"/>
      <c r="H233" s="198"/>
      <c r="I233" s="198"/>
    </row>
    <row r="234" ht="15.75" customHeight="1">
      <c r="F234" s="202"/>
    </row>
    <row r="235" ht="15.75" customHeight="1"/>
    <row r="236" ht="15.75" customHeight="1">
      <c r="G236" s="203"/>
    </row>
    <row r="237" ht="15.75" customHeight="1"/>
    <row r="238" ht="29.25" customHeight="1">
      <c r="D238" s="204" t="s">
        <v>138</v>
      </c>
      <c r="E238" s="143"/>
      <c r="F238" s="144"/>
    </row>
    <row r="239" ht="15.75" customHeight="1">
      <c r="D239" s="205" t="s">
        <v>139</v>
      </c>
      <c r="E239" s="69"/>
      <c r="F239" s="206">
        <f>COUNTIF(I4:I233,"P")+COUNTIF(I4:I233,"F")</f>
        <v>0</v>
      </c>
    </row>
    <row r="240" ht="15.75" customHeight="1">
      <c r="D240" s="207" t="s">
        <v>140</v>
      </c>
      <c r="E240" s="2"/>
      <c r="F240" s="208" t="str">
        <f>(SUMIF(I4:I233, "P", G4:G233)+SUMIF(I4:I233, "F", G4:G233))/F239</f>
        <v>#DIV/0!</v>
      </c>
    </row>
    <row r="241" ht="15.75" customHeight="1">
      <c r="D241" s="209" t="s">
        <v>141</v>
      </c>
      <c r="E241" s="2"/>
      <c r="F241" s="210">
        <f>COUNTIF(G4:G233, "&gt;="&amp;F240)</f>
        <v>0</v>
      </c>
    </row>
    <row r="242" ht="57.0" customHeight="1">
      <c r="D242" s="211" t="s">
        <v>142</v>
      </c>
      <c r="E242" s="76"/>
      <c r="F242" s="212" t="str">
        <f>F241/F239*100</f>
        <v>#DIV/0!</v>
      </c>
    </row>
    <row r="243" ht="15.75" customHeight="1">
      <c r="G243" s="213"/>
    </row>
    <row r="244" ht="45.0" customHeight="1">
      <c r="G244" s="214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1">
    <mergeCell ref="C1:I1"/>
    <mergeCell ref="C2:I2"/>
    <mergeCell ref="C3:I3"/>
    <mergeCell ref="F4:I4"/>
    <mergeCell ref="M4:N4"/>
    <mergeCell ref="R4:S4"/>
    <mergeCell ref="C5:I5"/>
    <mergeCell ref="C6:I6"/>
    <mergeCell ref="F7:I7"/>
    <mergeCell ref="C8:C9"/>
    <mergeCell ref="D8:D9"/>
    <mergeCell ref="E8:E9"/>
    <mergeCell ref="F8:F9"/>
    <mergeCell ref="G8:G9"/>
    <mergeCell ref="H8:H9"/>
    <mergeCell ref="I8:I9"/>
    <mergeCell ref="D238:F238"/>
    <mergeCell ref="D239:E239"/>
    <mergeCell ref="D240:E240"/>
    <mergeCell ref="D241:E241"/>
    <mergeCell ref="D242:E242"/>
  </mergeCells>
  <printOptions/>
  <pageMargins bottom="0.75" footer="0.0" header="0.0" left="0.7" right="0.7" top="0.75"/>
  <pageSetup orientation="portrait"/>
  <rowBreaks count="2" manualBreakCount="2">
    <brk id="240" man="1"/>
    <brk id="142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2.71"/>
    <col customWidth="1" min="4" max="4" width="19.0"/>
    <col customWidth="1" min="5" max="5" width="15.43"/>
    <col customWidth="1" min="6" max="6" width="14.14"/>
    <col customWidth="1" min="7" max="7" width="15.86"/>
    <col customWidth="1" min="8" max="8" width="17.29"/>
    <col customWidth="1" min="9" max="9" width="10.43"/>
    <col customWidth="1" min="10" max="10" width="9.86"/>
    <col customWidth="1" min="11" max="26" width="8.71"/>
  </cols>
  <sheetData>
    <row r="1">
      <c r="C1" s="175" t="s">
        <v>44</v>
      </c>
    </row>
    <row r="2">
      <c r="C2" s="28" t="str">
        <f>'set target form'!E2</f>
        <v>DEPARTMENT OF PHYSICS</v>
      </c>
    </row>
    <row r="3">
      <c r="C3" s="66" t="s">
        <v>132</v>
      </c>
    </row>
    <row r="4">
      <c r="B4" s="179"/>
      <c r="C4" s="180" t="s">
        <v>47</v>
      </c>
      <c r="D4" s="45" t="str">
        <f>'set target form'!E4</f>
        <v>21PHY22</v>
      </c>
      <c r="E4" s="180" t="s">
        <v>49</v>
      </c>
      <c r="F4" s="181" t="str">
        <f>'set target form'!G4</f>
        <v>ENGINEERING PHYSICS</v>
      </c>
      <c r="G4" s="35"/>
      <c r="H4" s="2"/>
    </row>
    <row r="5">
      <c r="B5" s="182"/>
      <c r="C5" s="185" t="s">
        <v>51</v>
      </c>
      <c r="D5" s="35"/>
      <c r="E5" s="35"/>
      <c r="F5" s="35"/>
      <c r="G5" s="35"/>
      <c r="H5" s="2"/>
    </row>
    <row r="6">
      <c r="A6" s="184"/>
      <c r="B6" s="182"/>
      <c r="C6" s="186" t="str">
        <f>'set target form'!D6</f>
        <v>Nithin H M</v>
      </c>
      <c r="D6" s="35"/>
      <c r="E6" s="35"/>
      <c r="F6" s="35"/>
      <c r="G6" s="35"/>
      <c r="H6" s="2"/>
    </row>
    <row r="7">
      <c r="C7" s="180" t="s">
        <v>53</v>
      </c>
      <c r="D7" s="86" t="str">
        <f>'set target form'!E7</f>
        <v>2021-22</v>
      </c>
      <c r="E7" s="180" t="s">
        <v>55</v>
      </c>
      <c r="F7" s="93" t="str">
        <f>'set target form'!G7</f>
        <v>II</v>
      </c>
      <c r="G7" s="35"/>
      <c r="H7" s="2"/>
    </row>
    <row r="9">
      <c r="C9" s="215"/>
      <c r="D9" s="215"/>
      <c r="E9" s="215"/>
      <c r="F9" s="215"/>
      <c r="G9" s="215"/>
    </row>
    <row r="10" ht="28.5" customHeight="1">
      <c r="C10" s="216" t="s">
        <v>7</v>
      </c>
      <c r="D10" s="217" t="s">
        <v>143</v>
      </c>
      <c r="E10" s="217" t="s">
        <v>144</v>
      </c>
      <c r="F10" s="217" t="s">
        <v>145</v>
      </c>
      <c r="G10" s="217" t="s">
        <v>146</v>
      </c>
      <c r="H10" s="218" t="s">
        <v>147</v>
      </c>
    </row>
    <row r="11" ht="30.75" customHeight="1">
      <c r="C11" s="219" t="s">
        <v>148</v>
      </c>
      <c r="D11" s="220">
        <f>COUNTA('IA Test only'!D12:D235) - E11</f>
        <v>0</v>
      </c>
      <c r="E11" s="220">
        <f>COUNTIF('IA Test only'!D12:D235, "Ab")</f>
        <v>0</v>
      </c>
      <c r="F11" s="220">
        <f>COUNTIF('IA Test only'!P12:P235, "&gt;=16")</f>
        <v>0</v>
      </c>
      <c r="G11" s="220">
        <f t="shared" ref="G11:G13" si="1">D11-F11</f>
        <v>0</v>
      </c>
      <c r="H11" s="221" t="str">
        <f t="shared" ref="H11:H13" si="2">F11/D11</f>
        <v>#DIV/0!</v>
      </c>
      <c r="I11" s="222"/>
      <c r="J11" s="223"/>
      <c r="K11" s="223"/>
      <c r="L11" s="223"/>
    </row>
    <row r="12" ht="30.75" customHeight="1">
      <c r="C12" s="219" t="s">
        <v>56</v>
      </c>
      <c r="D12" s="220">
        <f>COUNTA('IA Test only'!Q12:Q235) - E12</f>
        <v>0</v>
      </c>
      <c r="E12" s="220">
        <f>COUNTIF('IA Test only'!Q12:Q235, "Ab")</f>
        <v>0</v>
      </c>
      <c r="F12" s="220">
        <f>COUNTIF('IA Test only'!AC12:AC235, "&gt;=16")</f>
        <v>0</v>
      </c>
      <c r="G12" s="220">
        <f t="shared" si="1"/>
        <v>0</v>
      </c>
      <c r="H12" s="221" t="str">
        <f t="shared" si="2"/>
        <v>#DIV/0!</v>
      </c>
      <c r="I12" s="222"/>
      <c r="J12" s="223"/>
      <c r="K12" s="223"/>
      <c r="L12" s="223"/>
    </row>
    <row r="13" ht="31.5" customHeight="1">
      <c r="C13" s="224" t="s">
        <v>149</v>
      </c>
      <c r="D13" s="225">
        <f>COUNTA('IA Test only'!AD12:AD235) - E13</f>
        <v>0</v>
      </c>
      <c r="E13" s="225">
        <f>COUNTIF('IA Test only'!AD12:AD235, "Ab")</f>
        <v>0</v>
      </c>
      <c r="F13" s="220">
        <f>COUNTIF('IA Test only'!AP12:AP235, "&gt;=16")</f>
        <v>0</v>
      </c>
      <c r="G13" s="220">
        <f t="shared" si="1"/>
        <v>0</v>
      </c>
      <c r="H13" s="221" t="str">
        <f t="shared" si="2"/>
        <v>#DIV/0!</v>
      </c>
      <c r="I13" s="222"/>
      <c r="J13" s="223"/>
      <c r="K13" s="223"/>
      <c r="L13" s="223"/>
    </row>
    <row r="14" ht="30.75" customHeight="1">
      <c r="C14" s="215"/>
      <c r="D14" s="226"/>
      <c r="E14" s="226"/>
      <c r="F14" s="226"/>
      <c r="G14" s="226"/>
    </row>
    <row r="15" ht="30.75" customHeight="1">
      <c r="C15" s="227" t="s">
        <v>150</v>
      </c>
      <c r="D15" s="143"/>
      <c r="E15" s="143"/>
      <c r="F15" s="144"/>
      <c r="G15" s="226"/>
    </row>
    <row r="16" ht="90.75" customHeight="1">
      <c r="C16" s="216" t="s">
        <v>151</v>
      </c>
      <c r="D16" s="217" t="s">
        <v>152</v>
      </c>
      <c r="E16" s="217" t="s">
        <v>143</v>
      </c>
      <c r="F16" s="218" t="s">
        <v>144</v>
      </c>
      <c r="G16" s="228"/>
      <c r="H16" s="228"/>
    </row>
    <row r="17" ht="45.0" customHeight="1">
      <c r="C17" s="224" t="s">
        <v>148</v>
      </c>
      <c r="D17" s="229"/>
      <c r="E17" s="230"/>
      <c r="F17" s="231"/>
      <c r="G17" s="223"/>
      <c r="H17" s="223"/>
      <c r="I17" s="223"/>
      <c r="J17" s="223"/>
    </row>
    <row r="20">
      <c r="C20" s="232" t="s">
        <v>153</v>
      </c>
      <c r="D20" s="143"/>
      <c r="E20" s="143"/>
      <c r="F20" s="143"/>
      <c r="G20" s="143"/>
      <c r="H20" s="144"/>
    </row>
    <row r="21" ht="15.75" customHeight="1">
      <c r="C21" s="233" t="s">
        <v>154</v>
      </c>
      <c r="D21" s="234" t="s">
        <v>143</v>
      </c>
      <c r="E21" s="234" t="s">
        <v>144</v>
      </c>
      <c r="F21" s="234" t="s">
        <v>145</v>
      </c>
      <c r="G21" s="234" t="s">
        <v>146</v>
      </c>
      <c r="H21" s="234" t="s">
        <v>147</v>
      </c>
      <c r="J21" s="235" t="s">
        <v>155</v>
      </c>
      <c r="K21" s="236" t="s">
        <v>156</v>
      </c>
      <c r="L21" s="236" t="s">
        <v>157</v>
      </c>
      <c r="M21" s="236" t="s">
        <v>158</v>
      </c>
      <c r="N21" s="236" t="s">
        <v>159</v>
      </c>
      <c r="O21" s="236" t="s">
        <v>160</v>
      </c>
      <c r="P21" s="237" t="s">
        <v>161</v>
      </c>
    </row>
    <row r="22" ht="31.5" customHeight="1">
      <c r="C22" s="238" t="s">
        <v>162</v>
      </c>
      <c r="D22" s="239">
        <f>External!F239</f>
        <v>0</v>
      </c>
      <c r="E22" s="239">
        <f>COUNTIF(External!I10:I233, "A")</f>
        <v>0</v>
      </c>
      <c r="F22" s="239">
        <f>COUNTIF(External!I10:I233, "P")</f>
        <v>0</v>
      </c>
      <c r="G22" s="239">
        <f>COUNTIF(External!I10:I233, "F")</f>
        <v>0</v>
      </c>
      <c r="H22" s="240" t="str">
        <f>F22/D22</f>
        <v>#DIV/0!</v>
      </c>
      <c r="J22" s="71" t="s">
        <v>163</v>
      </c>
      <c r="K22" s="45" t="s">
        <v>164</v>
      </c>
      <c r="L22" s="45" t="s">
        <v>156</v>
      </c>
      <c r="M22" s="45" t="s">
        <v>157</v>
      </c>
      <c r="N22" s="45" t="s">
        <v>158</v>
      </c>
      <c r="O22" s="45" t="s">
        <v>159</v>
      </c>
      <c r="P22" s="56" t="s">
        <v>160</v>
      </c>
    </row>
    <row r="23" ht="30.75" customHeight="1">
      <c r="C23" s="238" t="s">
        <v>165</v>
      </c>
      <c r="D23" s="241"/>
      <c r="E23" s="241"/>
      <c r="F23" s="239"/>
      <c r="G23" s="239"/>
      <c r="H23" s="239"/>
      <c r="J23" s="74" t="s">
        <v>166</v>
      </c>
      <c r="K23" s="139" t="s">
        <v>164</v>
      </c>
      <c r="L23" s="139" t="s">
        <v>164</v>
      </c>
      <c r="M23" s="139" t="s">
        <v>156</v>
      </c>
      <c r="N23" s="139" t="s">
        <v>157</v>
      </c>
      <c r="O23" s="139" t="s">
        <v>158</v>
      </c>
      <c r="P23" s="242" t="s">
        <v>159</v>
      </c>
    </row>
    <row r="24" ht="30.0" customHeight="1">
      <c r="C24" s="238" t="s">
        <v>167</v>
      </c>
      <c r="D24" s="241"/>
      <c r="E24" s="241"/>
      <c r="F24" s="239"/>
      <c r="G24" s="239"/>
      <c r="H24" s="23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5:F15"/>
    <mergeCell ref="C20:H20"/>
    <mergeCell ref="C1:H1"/>
    <mergeCell ref="C2:H2"/>
    <mergeCell ref="C3:H3"/>
    <mergeCell ref="F4:H4"/>
    <mergeCell ref="C5:H5"/>
    <mergeCell ref="C6:H6"/>
    <mergeCell ref="F7:H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14"/>
    <col customWidth="1" min="3" max="3" width="27.86"/>
    <col customWidth="1" min="4" max="4" width="29.0"/>
    <col customWidth="1" min="5" max="5" width="11.14"/>
    <col customWidth="1" min="6" max="6" width="9.86"/>
    <col customWidth="1" min="7" max="7" width="10.14"/>
    <col customWidth="1" min="8" max="8" width="12.0"/>
    <col customWidth="1" min="9" max="9" width="10.57"/>
    <col customWidth="1" min="10" max="10" width="52.29"/>
    <col customWidth="1" min="11" max="11" width="24.29"/>
    <col customWidth="1" min="12" max="26" width="8.71"/>
  </cols>
  <sheetData>
    <row r="1" ht="20.25" customHeight="1">
      <c r="B1" s="175" t="s">
        <v>44</v>
      </c>
    </row>
    <row r="2" ht="20.25" customHeight="1">
      <c r="B2" s="28" t="str">
        <f>'set target form'!E2</f>
        <v>DEPARTMENT OF PHYSICS</v>
      </c>
    </row>
    <row r="3" ht="20.25" customHeight="1">
      <c r="B3" s="66" t="s">
        <v>168</v>
      </c>
    </row>
    <row r="4" ht="20.25" customHeight="1">
      <c r="B4" s="66"/>
      <c r="C4" s="66"/>
      <c r="D4" s="66"/>
      <c r="E4" s="66"/>
      <c r="F4" s="66"/>
      <c r="G4" s="66"/>
      <c r="H4" s="66"/>
      <c r="I4" s="66"/>
      <c r="J4" s="66"/>
      <c r="K4" s="66"/>
    </row>
    <row r="5" ht="20.25" customHeight="1">
      <c r="B5" s="66"/>
      <c r="C5" s="6"/>
      <c r="D5" s="6"/>
      <c r="E5" s="6"/>
      <c r="F5" s="6"/>
      <c r="G5" s="6"/>
      <c r="H5" s="6"/>
      <c r="I5" s="159"/>
      <c r="J5" s="159"/>
      <c r="K5" s="159"/>
    </row>
    <row r="6" ht="40.5" customHeight="1">
      <c r="B6" s="180" t="s">
        <v>47</v>
      </c>
      <c r="C6" s="243" t="str">
        <f>'set target form'!E4</f>
        <v>21PHY22</v>
      </c>
      <c r="D6" s="180" t="s">
        <v>49</v>
      </c>
      <c r="E6" s="244" t="str">
        <f>'set target form'!G4</f>
        <v>ENGINEERING PHYSICS</v>
      </c>
      <c r="F6" s="35"/>
      <c r="G6" s="35"/>
      <c r="H6" s="35"/>
      <c r="I6" s="2"/>
      <c r="J6" s="159"/>
      <c r="K6" s="159"/>
    </row>
    <row r="7" ht="31.5" customHeight="1">
      <c r="B7" s="185" t="s">
        <v>51</v>
      </c>
      <c r="C7" s="35"/>
      <c r="D7" s="35"/>
      <c r="E7" s="35"/>
      <c r="F7" s="35"/>
      <c r="G7" s="35"/>
      <c r="H7" s="35"/>
      <c r="I7" s="2"/>
      <c r="J7" s="159"/>
      <c r="K7" s="159"/>
    </row>
    <row r="8" ht="31.5" customHeight="1">
      <c r="B8" s="186" t="str">
        <f>'set target form'!D6</f>
        <v>Nithin H M</v>
      </c>
      <c r="C8" s="35"/>
      <c r="D8" s="35"/>
      <c r="E8" s="35"/>
      <c r="F8" s="35"/>
      <c r="G8" s="35"/>
      <c r="H8" s="35"/>
      <c r="I8" s="2"/>
    </row>
    <row r="9" ht="35.25" customHeight="1">
      <c r="B9" s="180" t="s">
        <v>53</v>
      </c>
      <c r="C9" s="86" t="str">
        <f>'set target form'!E7</f>
        <v>2021-22</v>
      </c>
      <c r="D9" s="180" t="s">
        <v>55</v>
      </c>
      <c r="E9" s="93" t="str">
        <f>'set target form'!G7</f>
        <v>II</v>
      </c>
      <c r="F9" s="35"/>
      <c r="G9" s="35"/>
      <c r="H9" s="35"/>
      <c r="I9" s="2"/>
    </row>
    <row r="10" ht="29.25" customHeight="1">
      <c r="B10" s="245" t="s">
        <v>169</v>
      </c>
      <c r="C10" s="245" t="s">
        <v>95</v>
      </c>
      <c r="D10" s="245" t="s">
        <v>170</v>
      </c>
      <c r="E10" s="246" t="s">
        <v>171</v>
      </c>
      <c r="F10" s="246" t="s">
        <v>172</v>
      </c>
      <c r="G10" s="246" t="s">
        <v>173</v>
      </c>
      <c r="H10" s="246" t="s">
        <v>174</v>
      </c>
      <c r="I10" s="246" t="s">
        <v>175</v>
      </c>
    </row>
    <row r="11" ht="22.5" customHeight="1">
      <c r="B11" s="16"/>
      <c r="C11" s="16"/>
      <c r="D11" s="16"/>
      <c r="E11" s="16"/>
      <c r="F11" s="16"/>
      <c r="G11" s="16"/>
      <c r="H11" s="16"/>
      <c r="I11" s="16"/>
    </row>
    <row r="12" ht="20.25" customHeight="1">
      <c r="B12" s="247">
        <v>1.0</v>
      </c>
      <c r="C12" s="45"/>
      <c r="D12" s="248"/>
      <c r="E12" s="249"/>
      <c r="F12" s="249"/>
      <c r="G12" s="249"/>
      <c r="H12" s="249"/>
      <c r="I12" s="249"/>
    </row>
    <row r="13" ht="20.25" customHeight="1">
      <c r="B13" s="247">
        <v>2.0</v>
      </c>
      <c r="C13" s="45"/>
      <c r="D13" s="248"/>
      <c r="E13" s="249"/>
      <c r="F13" s="249"/>
      <c r="G13" s="249"/>
      <c r="H13" s="249"/>
      <c r="I13" s="249"/>
    </row>
    <row r="14" ht="20.25" customHeight="1">
      <c r="B14" s="247">
        <v>3.0</v>
      </c>
      <c r="C14" s="45"/>
      <c r="D14" s="248"/>
      <c r="E14" s="249"/>
      <c r="F14" s="249"/>
      <c r="G14" s="249"/>
      <c r="H14" s="249"/>
      <c r="I14" s="249"/>
    </row>
    <row r="15" ht="20.25" customHeight="1">
      <c r="B15" s="247">
        <v>4.0</v>
      </c>
      <c r="C15" s="45"/>
      <c r="D15" s="248"/>
      <c r="E15" s="249"/>
      <c r="F15" s="249"/>
      <c r="G15" s="249"/>
      <c r="H15" s="249"/>
      <c r="I15" s="249"/>
    </row>
    <row r="16" ht="20.25" customHeight="1">
      <c r="B16" s="247">
        <v>5.0</v>
      </c>
      <c r="C16" s="45"/>
      <c r="D16" s="248"/>
      <c r="E16" s="249"/>
      <c r="F16" s="249"/>
      <c r="G16" s="249"/>
      <c r="H16" s="249"/>
      <c r="I16" s="249"/>
    </row>
    <row r="17" ht="20.25" customHeight="1">
      <c r="B17" s="247">
        <v>6.0</v>
      </c>
      <c r="C17" s="45"/>
      <c r="D17" s="248"/>
      <c r="E17" s="249"/>
      <c r="F17" s="249"/>
      <c r="G17" s="249"/>
      <c r="H17" s="249"/>
      <c r="I17" s="249"/>
    </row>
    <row r="18" ht="20.25" customHeight="1">
      <c r="B18" s="247">
        <v>7.0</v>
      </c>
      <c r="C18" s="45"/>
      <c r="D18" s="248"/>
      <c r="E18" s="249"/>
      <c r="F18" s="249"/>
      <c r="G18" s="249"/>
      <c r="H18" s="249"/>
      <c r="I18" s="249"/>
    </row>
    <row r="19" ht="20.25" customHeight="1">
      <c r="B19" s="247">
        <v>8.0</v>
      </c>
      <c r="C19" s="45"/>
      <c r="D19" s="248"/>
      <c r="E19" s="249"/>
      <c r="F19" s="249"/>
      <c r="G19" s="249"/>
      <c r="H19" s="249"/>
      <c r="I19" s="249"/>
    </row>
    <row r="20" ht="20.25" customHeight="1">
      <c r="B20" s="247">
        <v>9.0</v>
      </c>
      <c r="C20" s="45"/>
      <c r="D20" s="248"/>
      <c r="E20" s="249"/>
      <c r="F20" s="249"/>
      <c r="G20" s="249"/>
      <c r="H20" s="249"/>
      <c r="I20" s="249"/>
    </row>
    <row r="21" ht="20.25" customHeight="1">
      <c r="B21" s="247">
        <v>10.0</v>
      </c>
      <c r="C21" s="45"/>
      <c r="D21" s="248"/>
      <c r="E21" s="249"/>
      <c r="F21" s="249"/>
      <c r="G21" s="249"/>
      <c r="H21" s="249"/>
      <c r="I21" s="249"/>
    </row>
    <row r="22" ht="20.25" customHeight="1">
      <c r="B22" s="247">
        <v>11.0</v>
      </c>
      <c r="C22" s="45"/>
      <c r="D22" s="248"/>
      <c r="E22" s="249"/>
      <c r="F22" s="249"/>
      <c r="G22" s="249"/>
      <c r="H22" s="249"/>
      <c r="I22" s="249"/>
    </row>
    <row r="23" ht="20.25" customHeight="1">
      <c r="B23" s="247">
        <v>12.0</v>
      </c>
      <c r="C23" s="45"/>
      <c r="D23" s="248"/>
      <c r="E23" s="249"/>
      <c r="F23" s="249"/>
      <c r="G23" s="249"/>
      <c r="H23" s="249"/>
      <c r="I23" s="249"/>
    </row>
    <row r="24" ht="20.25" customHeight="1">
      <c r="B24" s="247">
        <v>13.0</v>
      </c>
      <c r="C24" s="45"/>
      <c r="D24" s="248"/>
      <c r="E24" s="249"/>
      <c r="F24" s="249"/>
      <c r="G24" s="249"/>
      <c r="H24" s="249"/>
      <c r="I24" s="249"/>
    </row>
    <row r="25" ht="20.25" customHeight="1">
      <c r="B25" s="247">
        <v>14.0</v>
      </c>
      <c r="C25" s="45"/>
      <c r="D25" s="248"/>
      <c r="E25" s="249"/>
      <c r="F25" s="249"/>
      <c r="G25" s="249"/>
      <c r="H25" s="249"/>
      <c r="I25" s="249"/>
    </row>
    <row r="26" ht="20.25" customHeight="1">
      <c r="B26" s="247">
        <v>15.0</v>
      </c>
      <c r="C26" s="45"/>
      <c r="D26" s="248"/>
      <c r="E26" s="249"/>
      <c r="F26" s="249"/>
      <c r="G26" s="249"/>
      <c r="H26" s="249"/>
      <c r="I26" s="249"/>
    </row>
    <row r="27" ht="20.25" customHeight="1">
      <c r="B27" s="247">
        <v>16.0</v>
      </c>
      <c r="C27" s="45"/>
      <c r="D27" s="248"/>
      <c r="E27" s="249"/>
      <c r="F27" s="249"/>
      <c r="G27" s="249"/>
      <c r="H27" s="249"/>
      <c r="I27" s="249"/>
    </row>
    <row r="28" ht="20.25" customHeight="1">
      <c r="B28" s="247">
        <v>17.0</v>
      </c>
      <c r="C28" s="45"/>
      <c r="D28" s="248"/>
      <c r="E28" s="249"/>
      <c r="F28" s="249"/>
      <c r="G28" s="249"/>
      <c r="H28" s="249"/>
      <c r="I28" s="249"/>
    </row>
    <row r="29" ht="20.25" customHeight="1">
      <c r="B29" s="247">
        <v>18.0</v>
      </c>
      <c r="C29" s="45"/>
      <c r="D29" s="248"/>
      <c r="E29" s="249"/>
      <c r="F29" s="249"/>
      <c r="G29" s="249"/>
      <c r="H29" s="249"/>
      <c r="I29" s="249"/>
    </row>
    <row r="30" ht="20.25" customHeight="1">
      <c r="B30" s="247">
        <v>19.0</v>
      </c>
      <c r="C30" s="45"/>
      <c r="D30" s="248"/>
      <c r="E30" s="249"/>
      <c r="F30" s="249"/>
      <c r="G30" s="249"/>
      <c r="H30" s="249"/>
      <c r="I30" s="249"/>
    </row>
    <row r="31" ht="20.25" customHeight="1">
      <c r="B31" s="247">
        <v>20.0</v>
      </c>
      <c r="C31" s="45"/>
      <c r="D31" s="248"/>
      <c r="E31" s="249"/>
      <c r="F31" s="249"/>
      <c r="G31" s="249"/>
      <c r="H31" s="249"/>
      <c r="I31" s="249"/>
    </row>
    <row r="32" ht="20.25" customHeight="1">
      <c r="B32" s="247">
        <v>21.0</v>
      </c>
      <c r="C32" s="45"/>
      <c r="D32" s="248"/>
      <c r="E32" s="249"/>
      <c r="F32" s="249"/>
      <c r="G32" s="249"/>
      <c r="H32" s="249"/>
      <c r="I32" s="249"/>
    </row>
    <row r="33" ht="20.25" customHeight="1">
      <c r="B33" s="247">
        <v>22.0</v>
      </c>
      <c r="C33" s="45"/>
      <c r="D33" s="248"/>
      <c r="E33" s="249"/>
      <c r="F33" s="249"/>
      <c r="G33" s="249"/>
      <c r="H33" s="249"/>
      <c r="I33" s="249"/>
    </row>
    <row r="34" ht="20.25" customHeight="1">
      <c r="B34" s="247">
        <v>23.0</v>
      </c>
      <c r="C34" s="45"/>
      <c r="D34" s="248"/>
      <c r="E34" s="249"/>
      <c r="F34" s="249"/>
      <c r="G34" s="249"/>
      <c r="H34" s="249"/>
      <c r="I34" s="249"/>
    </row>
    <row r="35" ht="20.25" customHeight="1">
      <c r="B35" s="247">
        <v>24.0</v>
      </c>
      <c r="C35" s="45"/>
      <c r="D35" s="248"/>
      <c r="E35" s="249"/>
      <c r="F35" s="249"/>
      <c r="G35" s="249"/>
      <c r="H35" s="249"/>
      <c r="I35" s="249"/>
    </row>
    <row r="36" ht="20.25" customHeight="1">
      <c r="B36" s="247">
        <v>25.0</v>
      </c>
      <c r="C36" s="45"/>
      <c r="D36" s="248"/>
      <c r="E36" s="249"/>
      <c r="F36" s="249"/>
      <c r="G36" s="249"/>
      <c r="H36" s="249"/>
      <c r="I36" s="249"/>
    </row>
    <row r="37" ht="20.25" customHeight="1">
      <c r="B37" s="247">
        <v>26.0</v>
      </c>
      <c r="C37" s="45"/>
      <c r="D37" s="248"/>
      <c r="E37" s="249"/>
      <c r="F37" s="249"/>
      <c r="G37" s="249"/>
      <c r="H37" s="249"/>
      <c r="I37" s="249"/>
    </row>
    <row r="38" ht="20.25" customHeight="1">
      <c r="B38" s="247">
        <v>27.0</v>
      </c>
      <c r="C38" s="45"/>
      <c r="D38" s="248"/>
      <c r="E38" s="249"/>
      <c r="F38" s="249"/>
      <c r="G38" s="249"/>
      <c r="H38" s="249"/>
      <c r="I38" s="249"/>
    </row>
    <row r="39" ht="20.25" customHeight="1">
      <c r="B39" s="247">
        <v>28.0</v>
      </c>
      <c r="C39" s="45"/>
      <c r="D39" s="248"/>
      <c r="E39" s="249"/>
      <c r="F39" s="249"/>
      <c r="G39" s="249"/>
      <c r="H39" s="249"/>
      <c r="I39" s="249"/>
    </row>
    <row r="40" ht="20.25" customHeight="1">
      <c r="B40" s="247">
        <v>29.0</v>
      </c>
      <c r="C40" s="45"/>
      <c r="D40" s="248"/>
      <c r="E40" s="249"/>
      <c r="F40" s="249"/>
      <c r="G40" s="249"/>
      <c r="H40" s="249"/>
      <c r="I40" s="249"/>
    </row>
    <row r="41" ht="20.25" customHeight="1">
      <c r="B41" s="247">
        <v>30.0</v>
      </c>
      <c r="C41" s="45"/>
      <c r="D41" s="248"/>
      <c r="E41" s="249"/>
      <c r="F41" s="249"/>
      <c r="G41" s="249"/>
      <c r="H41" s="249"/>
      <c r="I41" s="249"/>
    </row>
    <row r="42" ht="20.25" customHeight="1">
      <c r="B42" s="247">
        <v>31.0</v>
      </c>
      <c r="C42" s="45"/>
      <c r="D42" s="248"/>
      <c r="E42" s="249"/>
      <c r="F42" s="249"/>
      <c r="G42" s="249"/>
      <c r="H42" s="249"/>
      <c r="I42" s="249"/>
    </row>
    <row r="43" ht="20.25" customHeight="1">
      <c r="B43" s="247">
        <v>32.0</v>
      </c>
      <c r="C43" s="45"/>
      <c r="D43" s="248"/>
      <c r="E43" s="249"/>
      <c r="F43" s="249"/>
      <c r="G43" s="249"/>
      <c r="H43" s="249"/>
      <c r="I43" s="249"/>
    </row>
    <row r="44" ht="20.25" customHeight="1">
      <c r="B44" s="247">
        <v>33.0</v>
      </c>
      <c r="C44" s="45"/>
      <c r="D44" s="248"/>
      <c r="E44" s="249"/>
      <c r="F44" s="249"/>
      <c r="G44" s="249"/>
      <c r="H44" s="249"/>
      <c r="I44" s="249"/>
    </row>
    <row r="45" ht="20.25" customHeight="1">
      <c r="B45" s="247">
        <v>34.0</v>
      </c>
      <c r="C45" s="45"/>
      <c r="D45" s="248"/>
      <c r="E45" s="249"/>
      <c r="F45" s="249"/>
      <c r="G45" s="249"/>
      <c r="H45" s="249"/>
      <c r="I45" s="249"/>
    </row>
    <row r="46" ht="20.25" customHeight="1">
      <c r="B46" s="247">
        <v>35.0</v>
      </c>
      <c r="C46" s="45"/>
      <c r="D46" s="248"/>
      <c r="E46" s="249"/>
      <c r="F46" s="249"/>
      <c r="G46" s="249"/>
      <c r="H46" s="249"/>
      <c r="I46" s="249"/>
    </row>
    <row r="47" ht="20.25" customHeight="1">
      <c r="B47" s="247">
        <v>36.0</v>
      </c>
      <c r="C47" s="45"/>
      <c r="D47" s="248"/>
      <c r="E47" s="249"/>
      <c r="F47" s="249"/>
      <c r="G47" s="249"/>
      <c r="H47" s="249"/>
      <c r="I47" s="249"/>
    </row>
    <row r="48" ht="20.25" customHeight="1">
      <c r="B48" s="247">
        <v>37.0</v>
      </c>
      <c r="C48" s="45"/>
      <c r="D48" s="248"/>
      <c r="E48" s="249"/>
      <c r="F48" s="249"/>
      <c r="G48" s="249"/>
      <c r="H48" s="249"/>
      <c r="I48" s="249"/>
    </row>
    <row r="49" ht="20.25" customHeight="1">
      <c r="B49" s="247">
        <v>38.0</v>
      </c>
      <c r="C49" s="45"/>
      <c r="D49" s="248"/>
      <c r="E49" s="249"/>
      <c r="F49" s="249"/>
      <c r="G49" s="249"/>
      <c r="H49" s="249"/>
      <c r="I49" s="249"/>
    </row>
    <row r="50" ht="20.25" customHeight="1">
      <c r="B50" s="247">
        <v>39.0</v>
      </c>
      <c r="C50" s="45"/>
      <c r="D50" s="248"/>
      <c r="E50" s="249"/>
      <c r="F50" s="249"/>
      <c r="G50" s="249"/>
      <c r="H50" s="249"/>
      <c r="I50" s="249"/>
    </row>
    <row r="51" ht="20.25" customHeight="1">
      <c r="B51" s="247">
        <v>40.0</v>
      </c>
      <c r="C51" s="45"/>
      <c r="D51" s="248"/>
      <c r="E51" s="249"/>
      <c r="F51" s="249"/>
      <c r="G51" s="249"/>
      <c r="H51" s="249"/>
      <c r="I51" s="249"/>
    </row>
    <row r="52" ht="20.25" customHeight="1">
      <c r="B52" s="247">
        <v>41.0</v>
      </c>
      <c r="C52" s="45"/>
      <c r="D52" s="248"/>
      <c r="E52" s="249"/>
      <c r="F52" s="249"/>
      <c r="G52" s="249"/>
      <c r="H52" s="249"/>
      <c r="I52" s="249"/>
    </row>
    <row r="53" ht="20.25" customHeight="1">
      <c r="B53" s="247">
        <v>42.0</v>
      </c>
      <c r="C53" s="45"/>
      <c r="D53" s="248"/>
      <c r="E53" s="249"/>
      <c r="F53" s="249"/>
      <c r="G53" s="249"/>
      <c r="H53" s="249"/>
      <c r="I53" s="249"/>
    </row>
    <row r="54" ht="20.25" customHeight="1">
      <c r="B54" s="247">
        <v>43.0</v>
      </c>
      <c r="C54" s="45"/>
      <c r="D54" s="248"/>
      <c r="E54" s="249"/>
      <c r="F54" s="249"/>
      <c r="G54" s="249"/>
      <c r="H54" s="249"/>
      <c r="I54" s="249"/>
    </row>
    <row r="55" ht="20.25" customHeight="1">
      <c r="B55" s="247">
        <v>44.0</v>
      </c>
      <c r="C55" s="45"/>
      <c r="D55" s="248"/>
      <c r="E55" s="249"/>
      <c r="F55" s="249"/>
      <c r="G55" s="249"/>
      <c r="H55" s="249"/>
      <c r="I55" s="249"/>
    </row>
    <row r="56" ht="20.25" customHeight="1">
      <c r="B56" s="247">
        <v>45.0</v>
      </c>
      <c r="C56" s="45"/>
      <c r="D56" s="248"/>
      <c r="E56" s="249"/>
      <c r="F56" s="249"/>
      <c r="G56" s="249"/>
      <c r="H56" s="249"/>
      <c r="I56" s="249"/>
    </row>
    <row r="57" ht="20.25" customHeight="1">
      <c r="B57" s="247">
        <v>46.0</v>
      </c>
      <c r="C57" s="45"/>
      <c r="D57" s="248"/>
      <c r="E57" s="249"/>
      <c r="F57" s="249"/>
      <c r="G57" s="249"/>
      <c r="H57" s="249"/>
      <c r="I57" s="249"/>
    </row>
    <row r="58" ht="20.25" customHeight="1">
      <c r="B58" s="247">
        <v>47.0</v>
      </c>
      <c r="C58" s="45"/>
      <c r="D58" s="248"/>
      <c r="E58" s="249"/>
      <c r="F58" s="249"/>
      <c r="G58" s="249"/>
      <c r="H58" s="249"/>
      <c r="I58" s="249"/>
    </row>
    <row r="59" ht="20.25" customHeight="1">
      <c r="B59" s="247">
        <v>48.0</v>
      </c>
      <c r="C59" s="45"/>
      <c r="D59" s="248"/>
      <c r="E59" s="249"/>
      <c r="F59" s="249"/>
      <c r="G59" s="249"/>
      <c r="H59" s="249"/>
      <c r="I59" s="249"/>
    </row>
    <row r="60" ht="20.25" customHeight="1">
      <c r="B60" s="247">
        <v>49.0</v>
      </c>
      <c r="C60" s="45"/>
      <c r="D60" s="248"/>
      <c r="E60" s="249"/>
      <c r="F60" s="249"/>
      <c r="G60" s="249"/>
      <c r="H60" s="249"/>
      <c r="I60" s="249"/>
    </row>
    <row r="61" ht="20.25" customHeight="1">
      <c r="B61" s="247">
        <v>50.0</v>
      </c>
      <c r="C61" s="45"/>
      <c r="D61" s="248"/>
      <c r="E61" s="249"/>
      <c r="F61" s="249"/>
      <c r="G61" s="249"/>
      <c r="H61" s="249"/>
      <c r="I61" s="249"/>
    </row>
    <row r="62" ht="20.25" customHeight="1">
      <c r="B62" s="247">
        <v>51.0</v>
      </c>
      <c r="C62" s="45"/>
      <c r="D62" s="248"/>
      <c r="E62" s="249"/>
      <c r="F62" s="249"/>
      <c r="G62" s="249"/>
      <c r="H62" s="249"/>
      <c r="I62" s="249"/>
    </row>
    <row r="63" ht="20.25" customHeight="1">
      <c r="B63" s="247">
        <v>52.0</v>
      </c>
      <c r="C63" s="45"/>
      <c r="D63" s="248"/>
      <c r="E63" s="249"/>
      <c r="F63" s="249"/>
      <c r="G63" s="249"/>
      <c r="H63" s="249"/>
      <c r="I63" s="249"/>
    </row>
    <row r="64" ht="20.25" customHeight="1">
      <c r="B64" s="247">
        <v>53.0</v>
      </c>
      <c r="C64" s="45"/>
      <c r="D64" s="248"/>
      <c r="E64" s="249"/>
      <c r="F64" s="249"/>
      <c r="G64" s="249"/>
      <c r="H64" s="249"/>
      <c r="I64" s="249"/>
    </row>
    <row r="65" ht="20.25" customHeight="1">
      <c r="B65" s="247">
        <v>54.0</v>
      </c>
      <c r="C65" s="45"/>
      <c r="D65" s="248"/>
      <c r="E65" s="249"/>
      <c r="F65" s="249"/>
      <c r="G65" s="249"/>
      <c r="H65" s="249"/>
      <c r="I65" s="249"/>
    </row>
    <row r="66" ht="20.25" customHeight="1">
      <c r="B66" s="247">
        <v>55.0</v>
      </c>
      <c r="C66" s="45"/>
      <c r="D66" s="248"/>
      <c r="E66" s="249"/>
      <c r="F66" s="249"/>
      <c r="G66" s="249"/>
      <c r="H66" s="249"/>
      <c r="I66" s="249"/>
    </row>
    <row r="67" ht="20.25" customHeight="1">
      <c r="B67" s="247">
        <v>56.0</v>
      </c>
      <c r="C67" s="45"/>
      <c r="D67" s="248"/>
      <c r="E67" s="249"/>
      <c r="F67" s="249"/>
      <c r="G67" s="249"/>
      <c r="H67" s="249"/>
      <c r="I67" s="249"/>
    </row>
    <row r="68" ht="20.25" customHeight="1">
      <c r="B68" s="247">
        <v>57.0</v>
      </c>
      <c r="C68" s="45"/>
      <c r="D68" s="248"/>
      <c r="E68" s="249"/>
      <c r="F68" s="249"/>
      <c r="G68" s="249"/>
      <c r="H68" s="249"/>
      <c r="I68" s="249"/>
    </row>
    <row r="69" ht="20.25" customHeight="1">
      <c r="B69" s="247">
        <v>58.0</v>
      </c>
      <c r="C69" s="45"/>
      <c r="D69" s="248"/>
      <c r="E69" s="249"/>
      <c r="F69" s="249"/>
      <c r="G69" s="249"/>
      <c r="H69" s="249"/>
      <c r="I69" s="249"/>
    </row>
    <row r="70" ht="20.25" customHeight="1">
      <c r="B70" s="247">
        <v>59.0</v>
      </c>
      <c r="C70" s="45"/>
      <c r="D70" s="248"/>
      <c r="E70" s="249"/>
      <c r="F70" s="249"/>
      <c r="G70" s="249"/>
      <c r="H70" s="249"/>
      <c r="I70" s="249"/>
    </row>
    <row r="71" ht="20.25" customHeight="1">
      <c r="B71" s="247">
        <v>60.0</v>
      </c>
      <c r="C71" s="45"/>
      <c r="D71" s="248"/>
      <c r="E71" s="249"/>
      <c r="F71" s="249"/>
      <c r="G71" s="249"/>
      <c r="H71" s="249"/>
      <c r="I71" s="249"/>
    </row>
    <row r="72" ht="20.25" customHeight="1">
      <c r="B72" s="247">
        <v>61.0</v>
      </c>
      <c r="C72" s="45"/>
      <c r="D72" s="248"/>
      <c r="E72" s="249"/>
      <c r="F72" s="249"/>
      <c r="G72" s="249"/>
      <c r="H72" s="249"/>
      <c r="I72" s="249"/>
    </row>
    <row r="73" ht="20.25" customHeight="1">
      <c r="B73" s="247">
        <v>62.0</v>
      </c>
      <c r="C73" s="45"/>
      <c r="D73" s="248"/>
      <c r="E73" s="249"/>
      <c r="F73" s="249"/>
      <c r="G73" s="249"/>
      <c r="H73" s="249"/>
      <c r="I73" s="249"/>
    </row>
    <row r="74" ht="20.25" customHeight="1">
      <c r="B74" s="247">
        <v>63.0</v>
      </c>
      <c r="C74" s="45"/>
      <c r="D74" s="248"/>
      <c r="E74" s="249"/>
      <c r="F74" s="249"/>
      <c r="G74" s="249"/>
      <c r="H74" s="249"/>
      <c r="I74" s="249"/>
    </row>
    <row r="75" ht="20.25" customHeight="1">
      <c r="B75" s="247">
        <v>64.0</v>
      </c>
      <c r="C75" s="45"/>
      <c r="D75" s="248"/>
      <c r="E75" s="249"/>
      <c r="F75" s="249"/>
      <c r="G75" s="249"/>
      <c r="H75" s="249"/>
      <c r="I75" s="249"/>
    </row>
    <row r="76" ht="20.25" customHeight="1">
      <c r="B76" s="247">
        <v>65.0</v>
      </c>
      <c r="C76" s="45"/>
      <c r="D76" s="248"/>
      <c r="E76" s="249"/>
      <c r="F76" s="249"/>
      <c r="G76" s="249"/>
      <c r="H76" s="249"/>
      <c r="I76" s="249"/>
    </row>
    <row r="77" ht="20.25" customHeight="1">
      <c r="B77" s="247">
        <v>66.0</v>
      </c>
      <c r="C77" s="45"/>
      <c r="D77" s="248"/>
      <c r="E77" s="249"/>
      <c r="F77" s="249"/>
      <c r="G77" s="249"/>
      <c r="H77" s="249"/>
      <c r="I77" s="249"/>
    </row>
    <row r="78" ht="20.25" customHeight="1">
      <c r="B78" s="247">
        <v>67.0</v>
      </c>
      <c r="C78" s="45"/>
      <c r="D78" s="248"/>
      <c r="E78" s="249"/>
      <c r="F78" s="249"/>
      <c r="G78" s="249"/>
      <c r="H78" s="249"/>
      <c r="I78" s="249"/>
    </row>
    <row r="79" ht="20.25" customHeight="1">
      <c r="B79" s="247">
        <v>68.0</v>
      </c>
      <c r="C79" s="45"/>
      <c r="D79" s="248"/>
      <c r="E79" s="249"/>
      <c r="F79" s="249"/>
      <c r="G79" s="249"/>
      <c r="H79" s="249"/>
      <c r="I79" s="249"/>
    </row>
    <row r="80" ht="20.25" customHeight="1">
      <c r="B80" s="247">
        <v>69.0</v>
      </c>
      <c r="C80" s="45"/>
      <c r="D80" s="248"/>
      <c r="E80" s="249"/>
      <c r="F80" s="249"/>
      <c r="G80" s="249"/>
      <c r="H80" s="249"/>
      <c r="I80" s="249"/>
    </row>
    <row r="81" ht="20.25" customHeight="1">
      <c r="B81" s="247">
        <v>70.0</v>
      </c>
      <c r="C81" s="45"/>
      <c r="D81" s="248"/>
      <c r="E81" s="249"/>
      <c r="F81" s="249"/>
      <c r="G81" s="249"/>
      <c r="H81" s="249"/>
      <c r="I81" s="249"/>
    </row>
    <row r="82" ht="20.25" customHeight="1">
      <c r="B82" s="247">
        <v>71.0</v>
      </c>
      <c r="C82" s="45"/>
      <c r="D82" s="248"/>
      <c r="E82" s="249"/>
      <c r="F82" s="249"/>
      <c r="G82" s="249"/>
      <c r="H82" s="249"/>
      <c r="I82" s="249"/>
    </row>
    <row r="83" ht="20.25" customHeight="1">
      <c r="B83" s="247">
        <v>72.0</v>
      </c>
      <c r="C83" s="45"/>
      <c r="D83" s="248"/>
      <c r="E83" s="249"/>
      <c r="F83" s="249"/>
      <c r="G83" s="249"/>
      <c r="H83" s="249"/>
      <c r="I83" s="249"/>
    </row>
    <row r="84" ht="20.25" customHeight="1">
      <c r="B84" s="247">
        <v>73.0</v>
      </c>
      <c r="C84" s="45"/>
      <c r="D84" s="248"/>
      <c r="E84" s="249"/>
      <c r="F84" s="249"/>
      <c r="G84" s="249"/>
      <c r="H84" s="249"/>
      <c r="I84" s="249"/>
    </row>
    <row r="85" ht="20.25" customHeight="1">
      <c r="B85" s="247">
        <v>74.0</v>
      </c>
      <c r="C85" s="45"/>
      <c r="D85" s="248"/>
      <c r="E85" s="249"/>
      <c r="F85" s="249"/>
      <c r="G85" s="249"/>
      <c r="H85" s="249"/>
      <c r="I85" s="249"/>
    </row>
    <row r="86" ht="20.25" customHeight="1">
      <c r="B86" s="247">
        <v>75.0</v>
      </c>
      <c r="C86" s="45"/>
      <c r="D86" s="248"/>
      <c r="E86" s="249"/>
      <c r="F86" s="249"/>
      <c r="G86" s="249"/>
      <c r="H86" s="249"/>
      <c r="I86" s="249"/>
    </row>
    <row r="87" ht="20.25" customHeight="1">
      <c r="B87" s="247">
        <v>76.0</v>
      </c>
      <c r="C87" s="45"/>
      <c r="D87" s="248"/>
      <c r="E87" s="249"/>
      <c r="F87" s="249"/>
      <c r="G87" s="249"/>
      <c r="H87" s="249"/>
      <c r="I87" s="249"/>
    </row>
    <row r="88" ht="20.25" customHeight="1">
      <c r="B88" s="247">
        <v>77.0</v>
      </c>
      <c r="C88" s="45"/>
      <c r="D88" s="248"/>
      <c r="E88" s="249"/>
      <c r="F88" s="249"/>
      <c r="G88" s="249"/>
      <c r="H88" s="249"/>
      <c r="I88" s="249"/>
    </row>
    <row r="89" ht="20.25" customHeight="1">
      <c r="B89" s="247">
        <v>78.0</v>
      </c>
      <c r="C89" s="45"/>
      <c r="D89" s="248"/>
      <c r="E89" s="249"/>
      <c r="F89" s="249"/>
      <c r="G89" s="249"/>
      <c r="H89" s="249"/>
      <c r="I89" s="249"/>
    </row>
    <row r="90" ht="20.25" customHeight="1">
      <c r="B90" s="247">
        <v>79.0</v>
      </c>
      <c r="C90" s="45"/>
      <c r="D90" s="248"/>
      <c r="E90" s="249"/>
      <c r="F90" s="249"/>
      <c r="G90" s="249"/>
      <c r="H90" s="249"/>
      <c r="I90" s="249"/>
    </row>
    <row r="91" ht="20.25" customHeight="1">
      <c r="B91" s="247">
        <v>80.0</v>
      </c>
      <c r="C91" s="45"/>
      <c r="D91" s="248"/>
      <c r="E91" s="249"/>
      <c r="F91" s="249"/>
      <c r="G91" s="249"/>
      <c r="H91" s="249"/>
      <c r="I91" s="249"/>
    </row>
    <row r="92" ht="20.25" customHeight="1">
      <c r="B92" s="247">
        <v>81.0</v>
      </c>
      <c r="C92" s="45"/>
      <c r="D92" s="248"/>
      <c r="E92" s="249"/>
      <c r="F92" s="249"/>
      <c r="G92" s="249"/>
      <c r="H92" s="249"/>
      <c r="I92" s="249"/>
    </row>
    <row r="93" ht="20.25" customHeight="1">
      <c r="B93" s="247">
        <v>82.0</v>
      </c>
      <c r="C93" s="45"/>
      <c r="D93" s="248"/>
      <c r="E93" s="249"/>
      <c r="F93" s="249"/>
      <c r="G93" s="249"/>
      <c r="H93" s="249"/>
      <c r="I93" s="249"/>
    </row>
    <row r="94" ht="20.25" customHeight="1">
      <c r="B94" s="247">
        <v>83.0</v>
      </c>
      <c r="C94" s="45"/>
      <c r="D94" s="248"/>
      <c r="E94" s="249"/>
      <c r="F94" s="249"/>
      <c r="G94" s="249"/>
      <c r="H94" s="249"/>
      <c r="I94" s="249"/>
    </row>
    <row r="95" ht="20.25" customHeight="1">
      <c r="B95" s="247">
        <v>84.0</v>
      </c>
      <c r="C95" s="45"/>
      <c r="D95" s="248"/>
      <c r="E95" s="249"/>
      <c r="F95" s="249"/>
      <c r="G95" s="249"/>
      <c r="H95" s="249"/>
      <c r="I95" s="249"/>
    </row>
    <row r="96" ht="20.25" customHeight="1">
      <c r="B96" s="247">
        <v>85.0</v>
      </c>
      <c r="C96" s="45"/>
      <c r="D96" s="248"/>
      <c r="E96" s="249"/>
      <c r="F96" s="249"/>
      <c r="G96" s="249"/>
      <c r="H96" s="249"/>
      <c r="I96" s="249"/>
    </row>
    <row r="97" ht="20.25" customHeight="1">
      <c r="B97" s="247">
        <v>86.0</v>
      </c>
      <c r="C97" s="45"/>
      <c r="D97" s="248"/>
      <c r="E97" s="249"/>
      <c r="F97" s="249"/>
      <c r="G97" s="249"/>
      <c r="H97" s="249"/>
      <c r="I97" s="249"/>
    </row>
    <row r="98" ht="20.25" customHeight="1">
      <c r="B98" s="247">
        <v>87.0</v>
      </c>
      <c r="C98" s="45"/>
      <c r="D98" s="248"/>
      <c r="E98" s="249"/>
      <c r="F98" s="249"/>
      <c r="G98" s="249"/>
      <c r="H98" s="249"/>
      <c r="I98" s="249"/>
    </row>
    <row r="99" ht="20.25" customHeight="1">
      <c r="B99" s="247">
        <v>88.0</v>
      </c>
      <c r="C99" s="45"/>
      <c r="D99" s="248"/>
      <c r="E99" s="249"/>
      <c r="F99" s="249"/>
      <c r="G99" s="249"/>
      <c r="H99" s="249"/>
      <c r="I99" s="249"/>
    </row>
    <row r="100" ht="20.25" customHeight="1">
      <c r="B100" s="247">
        <v>89.0</v>
      </c>
      <c r="C100" s="45"/>
      <c r="D100" s="248"/>
      <c r="E100" s="249"/>
      <c r="F100" s="249"/>
      <c r="G100" s="249"/>
      <c r="H100" s="249"/>
      <c r="I100" s="249"/>
    </row>
    <row r="101" ht="20.25" customHeight="1">
      <c r="B101" s="247">
        <v>90.0</v>
      </c>
      <c r="C101" s="45"/>
      <c r="D101" s="248"/>
      <c r="E101" s="249"/>
      <c r="F101" s="249"/>
      <c r="G101" s="249"/>
      <c r="H101" s="249"/>
      <c r="I101" s="249"/>
    </row>
    <row r="102" ht="20.25" customHeight="1">
      <c r="B102" s="247">
        <v>91.0</v>
      </c>
      <c r="C102" s="45"/>
      <c r="D102" s="248"/>
      <c r="E102" s="249"/>
      <c r="F102" s="249"/>
      <c r="G102" s="249"/>
      <c r="H102" s="249"/>
      <c r="I102" s="249"/>
    </row>
    <row r="103" ht="20.25" customHeight="1">
      <c r="B103" s="247">
        <v>92.0</v>
      </c>
      <c r="C103" s="45"/>
      <c r="D103" s="248"/>
      <c r="E103" s="249"/>
      <c r="F103" s="249"/>
      <c r="G103" s="249"/>
      <c r="H103" s="249"/>
      <c r="I103" s="249"/>
    </row>
    <row r="104" ht="20.25" customHeight="1">
      <c r="B104" s="247">
        <v>93.0</v>
      </c>
      <c r="C104" s="45"/>
      <c r="D104" s="248"/>
      <c r="E104" s="249"/>
      <c r="F104" s="249"/>
      <c r="G104" s="249"/>
      <c r="H104" s="249"/>
      <c r="I104" s="249"/>
    </row>
    <row r="105" ht="20.25" customHeight="1">
      <c r="B105" s="247">
        <v>94.0</v>
      </c>
      <c r="C105" s="45"/>
      <c r="D105" s="248"/>
      <c r="E105" s="249"/>
      <c r="F105" s="249"/>
      <c r="G105" s="249"/>
      <c r="H105" s="249"/>
      <c r="I105" s="249"/>
    </row>
    <row r="106" ht="20.25" customHeight="1">
      <c r="B106" s="247">
        <v>95.0</v>
      </c>
      <c r="C106" s="45"/>
      <c r="D106" s="248"/>
      <c r="E106" s="249"/>
      <c r="F106" s="249"/>
      <c r="G106" s="249"/>
      <c r="H106" s="249"/>
      <c r="I106" s="249"/>
    </row>
    <row r="107" ht="20.25" customHeight="1">
      <c r="B107" s="247">
        <v>96.0</v>
      </c>
      <c r="C107" s="45"/>
      <c r="D107" s="248"/>
      <c r="E107" s="249"/>
      <c r="F107" s="249"/>
      <c r="G107" s="249"/>
      <c r="H107" s="249"/>
      <c r="I107" s="249"/>
    </row>
    <row r="108" ht="20.25" customHeight="1">
      <c r="B108" s="247">
        <v>97.0</v>
      </c>
      <c r="C108" s="45"/>
      <c r="D108" s="248"/>
      <c r="E108" s="249"/>
      <c r="F108" s="249"/>
      <c r="G108" s="249"/>
      <c r="H108" s="249"/>
      <c r="I108" s="249"/>
    </row>
    <row r="109" ht="20.25" customHeight="1">
      <c r="B109" s="247">
        <v>98.0</v>
      </c>
      <c r="C109" s="45"/>
      <c r="D109" s="248"/>
      <c r="E109" s="249"/>
      <c r="F109" s="249"/>
      <c r="G109" s="249"/>
      <c r="H109" s="249"/>
      <c r="I109" s="249"/>
    </row>
    <row r="110" ht="20.25" customHeight="1">
      <c r="B110" s="247">
        <v>99.0</v>
      </c>
      <c r="C110" s="45"/>
      <c r="D110" s="248"/>
      <c r="E110" s="249"/>
      <c r="F110" s="249"/>
      <c r="G110" s="249"/>
      <c r="H110" s="249"/>
      <c r="I110" s="249"/>
    </row>
    <row r="111" ht="20.25" customHeight="1">
      <c r="B111" s="247">
        <v>100.0</v>
      </c>
      <c r="C111" s="45"/>
      <c r="D111" s="248"/>
      <c r="E111" s="249"/>
      <c r="F111" s="249"/>
      <c r="G111" s="249"/>
      <c r="H111" s="249"/>
      <c r="I111" s="249"/>
    </row>
    <row r="112" ht="20.25" customHeight="1">
      <c r="B112" s="247">
        <v>101.0</v>
      </c>
      <c r="C112" s="45"/>
      <c r="D112" s="248"/>
      <c r="E112" s="249"/>
      <c r="F112" s="249"/>
      <c r="G112" s="249"/>
      <c r="H112" s="249"/>
      <c r="I112" s="249"/>
    </row>
    <row r="113" ht="20.25" customHeight="1">
      <c r="B113" s="247">
        <v>102.0</v>
      </c>
      <c r="C113" s="45"/>
      <c r="D113" s="248"/>
      <c r="E113" s="249"/>
      <c r="F113" s="249"/>
      <c r="G113" s="249"/>
      <c r="H113" s="249"/>
      <c r="I113" s="249"/>
    </row>
    <row r="114" ht="20.25" customHeight="1">
      <c r="B114" s="247">
        <v>103.0</v>
      </c>
      <c r="C114" s="45"/>
      <c r="D114" s="248"/>
      <c r="E114" s="249"/>
      <c r="F114" s="249"/>
      <c r="G114" s="249"/>
      <c r="H114" s="249"/>
      <c r="I114" s="249"/>
    </row>
    <row r="115" ht="20.25" customHeight="1">
      <c r="B115" s="247">
        <v>104.0</v>
      </c>
      <c r="C115" s="45"/>
      <c r="D115" s="248"/>
      <c r="E115" s="249"/>
      <c r="F115" s="249"/>
      <c r="G115" s="249"/>
      <c r="H115" s="249"/>
      <c r="I115" s="249"/>
    </row>
    <row r="116" ht="20.25" customHeight="1">
      <c r="B116" s="247">
        <v>105.0</v>
      </c>
      <c r="C116" s="45"/>
      <c r="D116" s="248"/>
      <c r="E116" s="249"/>
      <c r="F116" s="249"/>
      <c r="G116" s="249"/>
      <c r="H116" s="249"/>
      <c r="I116" s="249"/>
    </row>
    <row r="117" ht="20.25" customHeight="1">
      <c r="B117" s="247">
        <v>106.0</v>
      </c>
      <c r="C117" s="45"/>
      <c r="D117" s="248"/>
      <c r="E117" s="249"/>
      <c r="F117" s="249"/>
      <c r="G117" s="249"/>
      <c r="H117" s="249"/>
      <c r="I117" s="249"/>
    </row>
    <row r="118" ht="20.25" customHeight="1">
      <c r="B118" s="247">
        <v>107.0</v>
      </c>
      <c r="C118" s="45"/>
      <c r="D118" s="248"/>
      <c r="E118" s="249"/>
      <c r="F118" s="249"/>
      <c r="G118" s="249"/>
      <c r="H118" s="249"/>
      <c r="I118" s="249"/>
    </row>
    <row r="119" ht="20.25" customHeight="1">
      <c r="B119" s="247">
        <v>108.0</v>
      </c>
      <c r="C119" s="45"/>
      <c r="D119" s="248"/>
      <c r="E119" s="249"/>
      <c r="F119" s="249"/>
      <c r="G119" s="249"/>
      <c r="H119" s="249"/>
      <c r="I119" s="249"/>
    </row>
    <row r="120" ht="20.25" customHeight="1">
      <c r="B120" s="247">
        <v>109.0</v>
      </c>
      <c r="C120" s="45"/>
      <c r="D120" s="248"/>
      <c r="E120" s="249"/>
      <c r="F120" s="249"/>
      <c r="G120" s="249"/>
      <c r="H120" s="249"/>
      <c r="I120" s="249"/>
    </row>
    <row r="121" ht="20.25" customHeight="1">
      <c r="B121" s="247">
        <v>110.0</v>
      </c>
      <c r="C121" s="45"/>
      <c r="D121" s="248"/>
      <c r="E121" s="249"/>
      <c r="F121" s="249"/>
      <c r="G121" s="249"/>
      <c r="H121" s="249"/>
      <c r="I121" s="249"/>
    </row>
    <row r="122" ht="20.25" customHeight="1">
      <c r="B122" s="247">
        <v>111.0</v>
      </c>
      <c r="C122" s="45"/>
      <c r="D122" s="248"/>
      <c r="E122" s="249"/>
      <c r="F122" s="249"/>
      <c r="G122" s="249"/>
      <c r="H122" s="249"/>
      <c r="I122" s="249"/>
    </row>
    <row r="123" ht="20.25" customHeight="1">
      <c r="B123" s="247">
        <v>112.0</v>
      </c>
      <c r="C123" s="45"/>
      <c r="D123" s="248"/>
      <c r="E123" s="249"/>
      <c r="F123" s="249"/>
      <c r="G123" s="249"/>
      <c r="H123" s="249"/>
      <c r="I123" s="249"/>
    </row>
    <row r="124" ht="20.25" customHeight="1">
      <c r="B124" s="247">
        <v>113.0</v>
      </c>
      <c r="C124" s="45"/>
      <c r="D124" s="248"/>
      <c r="E124" s="249"/>
      <c r="F124" s="249"/>
      <c r="G124" s="249"/>
      <c r="H124" s="249"/>
      <c r="I124" s="249"/>
    </row>
    <row r="125" ht="20.25" customHeight="1">
      <c r="B125" s="247">
        <v>114.0</v>
      </c>
      <c r="C125" s="45"/>
      <c r="D125" s="248"/>
      <c r="E125" s="249"/>
      <c r="F125" s="249"/>
      <c r="G125" s="249"/>
      <c r="H125" s="249"/>
      <c r="I125" s="249"/>
    </row>
    <row r="126" ht="20.25" customHeight="1">
      <c r="B126" s="247">
        <v>115.0</v>
      </c>
      <c r="C126" s="45"/>
      <c r="D126" s="248"/>
      <c r="E126" s="249"/>
      <c r="F126" s="249"/>
      <c r="G126" s="249"/>
      <c r="H126" s="249"/>
      <c r="I126" s="249"/>
    </row>
    <row r="127" ht="20.25" customHeight="1">
      <c r="B127" s="247">
        <v>116.0</v>
      </c>
      <c r="C127" s="45"/>
      <c r="D127" s="248"/>
      <c r="E127" s="249"/>
      <c r="F127" s="249"/>
      <c r="G127" s="249"/>
      <c r="H127" s="249"/>
      <c r="I127" s="249"/>
    </row>
    <row r="128" ht="20.25" customHeight="1">
      <c r="B128" s="247">
        <v>117.0</v>
      </c>
      <c r="C128" s="45"/>
      <c r="D128" s="248"/>
      <c r="E128" s="249"/>
      <c r="F128" s="249"/>
      <c r="G128" s="249"/>
      <c r="H128" s="249"/>
      <c r="I128" s="249"/>
    </row>
    <row r="129" ht="20.25" customHeight="1">
      <c r="B129" s="247">
        <v>118.0</v>
      </c>
      <c r="C129" s="45"/>
      <c r="D129" s="248"/>
      <c r="E129" s="249"/>
      <c r="F129" s="249"/>
      <c r="G129" s="249"/>
      <c r="H129" s="249"/>
      <c r="I129" s="249"/>
    </row>
    <row r="130" ht="20.25" customHeight="1">
      <c r="B130" s="247">
        <v>119.0</v>
      </c>
      <c r="C130" s="45"/>
      <c r="D130" s="248"/>
      <c r="E130" s="249"/>
      <c r="F130" s="249"/>
      <c r="G130" s="249"/>
      <c r="H130" s="249"/>
      <c r="I130" s="249"/>
    </row>
    <row r="131" ht="20.25" customHeight="1">
      <c r="B131" s="247">
        <v>120.0</v>
      </c>
      <c r="C131" s="45"/>
      <c r="D131" s="248"/>
      <c r="E131" s="249"/>
      <c r="F131" s="249"/>
      <c r="G131" s="249"/>
      <c r="H131" s="249"/>
      <c r="I131" s="249"/>
    </row>
    <row r="132" ht="20.25" customHeight="1">
      <c r="B132" s="247">
        <v>121.0</v>
      </c>
      <c r="C132" s="45"/>
      <c r="D132" s="248"/>
      <c r="E132" s="249"/>
      <c r="F132" s="249"/>
      <c r="G132" s="249"/>
      <c r="H132" s="249"/>
      <c r="I132" s="249"/>
    </row>
    <row r="133" ht="20.25" customHeight="1">
      <c r="B133" s="247">
        <v>122.0</v>
      </c>
      <c r="C133" s="45"/>
      <c r="D133" s="248"/>
      <c r="E133" s="249"/>
      <c r="F133" s="249"/>
      <c r="G133" s="249"/>
      <c r="H133" s="249"/>
      <c r="I133" s="249"/>
    </row>
    <row r="134" ht="20.25" customHeight="1">
      <c r="B134" s="247">
        <v>123.0</v>
      </c>
      <c r="C134" s="45"/>
      <c r="D134" s="248"/>
      <c r="E134" s="249"/>
      <c r="F134" s="249"/>
      <c r="G134" s="249"/>
      <c r="H134" s="249"/>
      <c r="I134" s="249"/>
    </row>
    <row r="135" ht="20.25" customHeight="1">
      <c r="B135" s="247">
        <v>124.0</v>
      </c>
      <c r="C135" s="45"/>
      <c r="D135" s="248"/>
      <c r="E135" s="249"/>
      <c r="F135" s="249"/>
      <c r="G135" s="249"/>
      <c r="H135" s="249"/>
      <c r="I135" s="249"/>
    </row>
    <row r="136" ht="20.25" customHeight="1">
      <c r="B136" s="247">
        <v>125.0</v>
      </c>
      <c r="C136" s="45"/>
      <c r="D136" s="248"/>
      <c r="E136" s="249"/>
      <c r="F136" s="249"/>
      <c r="G136" s="249"/>
      <c r="H136" s="249"/>
      <c r="I136" s="249"/>
    </row>
    <row r="137" ht="20.25" customHeight="1">
      <c r="B137" s="247">
        <v>126.0</v>
      </c>
      <c r="C137" s="45"/>
      <c r="D137" s="248"/>
      <c r="E137" s="249"/>
      <c r="F137" s="249"/>
      <c r="G137" s="249"/>
      <c r="H137" s="249"/>
      <c r="I137" s="249"/>
    </row>
    <row r="138" ht="20.25" customHeight="1">
      <c r="B138" s="247">
        <v>127.0</v>
      </c>
      <c r="C138" s="45"/>
      <c r="D138" s="248"/>
      <c r="E138" s="249"/>
      <c r="F138" s="249"/>
      <c r="G138" s="249"/>
      <c r="H138" s="249"/>
      <c r="I138" s="249"/>
    </row>
    <row r="139" ht="20.25" customHeight="1">
      <c r="B139" s="247">
        <v>128.0</v>
      </c>
      <c r="C139" s="45"/>
      <c r="D139" s="248"/>
      <c r="E139" s="249"/>
      <c r="F139" s="249"/>
      <c r="G139" s="249"/>
      <c r="H139" s="249"/>
      <c r="I139" s="249"/>
    </row>
    <row r="140" ht="20.25" customHeight="1">
      <c r="B140" s="247">
        <v>129.0</v>
      </c>
      <c r="C140" s="45"/>
      <c r="D140" s="248"/>
      <c r="E140" s="249"/>
      <c r="F140" s="249"/>
      <c r="G140" s="249"/>
      <c r="H140" s="249"/>
      <c r="I140" s="249"/>
    </row>
    <row r="141" ht="20.25" customHeight="1">
      <c r="B141" s="247">
        <v>130.0</v>
      </c>
      <c r="C141" s="45"/>
      <c r="D141" s="248"/>
      <c r="E141" s="249"/>
      <c r="F141" s="249"/>
      <c r="G141" s="249"/>
      <c r="H141" s="249"/>
      <c r="I141" s="249"/>
    </row>
    <row r="142" ht="20.25" customHeight="1">
      <c r="B142" s="247">
        <v>131.0</v>
      </c>
      <c r="C142" s="45"/>
      <c r="D142" s="248"/>
      <c r="E142" s="249"/>
      <c r="F142" s="249"/>
      <c r="G142" s="249"/>
      <c r="H142" s="249"/>
      <c r="I142" s="249"/>
    </row>
    <row r="143" ht="20.25" customHeight="1">
      <c r="B143" s="247">
        <v>132.0</v>
      </c>
      <c r="C143" s="45"/>
      <c r="D143" s="248"/>
      <c r="E143" s="249"/>
      <c r="F143" s="249"/>
      <c r="G143" s="249"/>
      <c r="H143" s="249"/>
      <c r="I143" s="249"/>
    </row>
    <row r="144" ht="20.25" customHeight="1">
      <c r="B144" s="247">
        <v>133.0</v>
      </c>
      <c r="C144" s="45"/>
      <c r="D144" s="248"/>
      <c r="E144" s="249"/>
      <c r="F144" s="249"/>
      <c r="G144" s="249"/>
      <c r="H144" s="249"/>
      <c r="I144" s="249"/>
    </row>
    <row r="145" ht="20.25" customHeight="1">
      <c r="B145" s="247">
        <v>134.0</v>
      </c>
      <c r="C145" s="45"/>
      <c r="D145" s="248"/>
      <c r="E145" s="249"/>
      <c r="F145" s="249"/>
      <c r="G145" s="249"/>
      <c r="H145" s="249"/>
      <c r="I145" s="249"/>
    </row>
    <row r="146" ht="20.25" customHeight="1">
      <c r="B146" s="247">
        <v>135.0</v>
      </c>
      <c r="C146" s="45"/>
      <c r="D146" s="248"/>
      <c r="E146" s="249"/>
      <c r="F146" s="249"/>
      <c r="G146" s="249"/>
      <c r="H146" s="249"/>
      <c r="I146" s="249"/>
    </row>
    <row r="147" ht="20.25" customHeight="1">
      <c r="B147" s="247">
        <v>136.0</v>
      </c>
      <c r="C147" s="45"/>
      <c r="D147" s="248"/>
      <c r="E147" s="249"/>
      <c r="F147" s="249"/>
      <c r="G147" s="249"/>
      <c r="H147" s="249"/>
      <c r="I147" s="249"/>
    </row>
    <row r="148" ht="20.25" customHeight="1">
      <c r="B148" s="247">
        <v>137.0</v>
      </c>
      <c r="C148" s="45"/>
      <c r="D148" s="248"/>
      <c r="E148" s="249"/>
      <c r="F148" s="249"/>
      <c r="G148" s="249"/>
      <c r="H148" s="249"/>
      <c r="I148" s="249"/>
    </row>
    <row r="149" ht="20.25" customHeight="1">
      <c r="B149" s="247">
        <v>138.0</v>
      </c>
      <c r="C149" s="45"/>
      <c r="D149" s="248"/>
      <c r="E149" s="249"/>
      <c r="F149" s="249"/>
      <c r="G149" s="249"/>
      <c r="H149" s="249"/>
      <c r="I149" s="249"/>
    </row>
    <row r="150" ht="20.25" customHeight="1">
      <c r="B150" s="247">
        <v>139.0</v>
      </c>
      <c r="C150" s="45"/>
      <c r="D150" s="248"/>
      <c r="E150" s="249"/>
      <c r="F150" s="249"/>
      <c r="G150" s="249"/>
      <c r="H150" s="249"/>
      <c r="I150" s="249"/>
    </row>
    <row r="151" ht="20.25" customHeight="1">
      <c r="B151" s="247">
        <v>140.0</v>
      </c>
      <c r="C151" s="45"/>
      <c r="D151" s="248"/>
      <c r="E151" s="249"/>
      <c r="F151" s="249"/>
      <c r="G151" s="249"/>
      <c r="H151" s="249"/>
      <c r="I151" s="249"/>
    </row>
    <row r="152" ht="20.25" customHeight="1">
      <c r="B152" s="247">
        <v>141.0</v>
      </c>
      <c r="C152" s="45"/>
      <c r="D152" s="248"/>
      <c r="E152" s="249"/>
      <c r="F152" s="249"/>
      <c r="G152" s="249"/>
      <c r="H152" s="249"/>
      <c r="I152" s="249"/>
    </row>
    <row r="153" ht="20.25" customHeight="1">
      <c r="B153" s="247">
        <v>142.0</v>
      </c>
      <c r="C153" s="45"/>
      <c r="D153" s="248"/>
      <c r="E153" s="249"/>
      <c r="F153" s="249"/>
      <c r="G153" s="249"/>
      <c r="H153" s="249"/>
      <c r="I153" s="249"/>
    </row>
    <row r="154" ht="20.25" customHeight="1">
      <c r="B154" s="247">
        <v>143.0</v>
      </c>
      <c r="C154" s="45"/>
      <c r="D154" s="248"/>
      <c r="E154" s="249"/>
      <c r="F154" s="249"/>
      <c r="G154" s="249"/>
      <c r="H154" s="249"/>
      <c r="I154" s="249"/>
    </row>
    <row r="155" ht="20.25" customHeight="1">
      <c r="B155" s="247">
        <v>144.0</v>
      </c>
      <c r="C155" s="45"/>
      <c r="D155" s="248"/>
      <c r="E155" s="249"/>
      <c r="F155" s="249"/>
      <c r="G155" s="249"/>
      <c r="H155" s="249"/>
      <c r="I155" s="249"/>
    </row>
    <row r="156" ht="20.25" customHeight="1">
      <c r="B156" s="247">
        <v>145.0</v>
      </c>
      <c r="C156" s="45"/>
      <c r="D156" s="248"/>
      <c r="E156" s="249"/>
      <c r="F156" s="249"/>
      <c r="G156" s="249"/>
      <c r="H156" s="249"/>
      <c r="I156" s="249"/>
    </row>
    <row r="157" ht="20.25" customHeight="1">
      <c r="B157" s="247">
        <v>146.0</v>
      </c>
      <c r="C157" s="45"/>
      <c r="D157" s="248"/>
      <c r="E157" s="249"/>
      <c r="F157" s="249"/>
      <c r="G157" s="249"/>
      <c r="H157" s="249"/>
      <c r="I157" s="249"/>
    </row>
    <row r="158" ht="20.25" customHeight="1">
      <c r="B158" s="247">
        <v>147.0</v>
      </c>
      <c r="C158" s="45"/>
      <c r="D158" s="248"/>
      <c r="E158" s="249"/>
      <c r="F158" s="249"/>
      <c r="G158" s="249"/>
      <c r="H158" s="249"/>
      <c r="I158" s="249"/>
    </row>
    <row r="159" ht="20.25" customHeight="1">
      <c r="B159" s="247">
        <v>148.0</v>
      </c>
      <c r="C159" s="45"/>
      <c r="D159" s="248"/>
      <c r="E159" s="249"/>
      <c r="F159" s="249"/>
      <c r="G159" s="249"/>
      <c r="H159" s="249"/>
      <c r="I159" s="249"/>
    </row>
    <row r="160" ht="20.25" customHeight="1">
      <c r="B160" s="247">
        <v>149.0</v>
      </c>
      <c r="C160" s="45"/>
      <c r="D160" s="248"/>
      <c r="E160" s="249"/>
      <c r="F160" s="249"/>
      <c r="G160" s="249"/>
      <c r="H160" s="249"/>
      <c r="I160" s="249"/>
    </row>
    <row r="161" ht="20.25" customHeight="1">
      <c r="B161" s="247">
        <v>150.0</v>
      </c>
      <c r="C161" s="45"/>
      <c r="D161" s="248"/>
      <c r="E161" s="249"/>
      <c r="F161" s="249"/>
      <c r="G161" s="249"/>
      <c r="H161" s="249"/>
      <c r="I161" s="249"/>
    </row>
    <row r="162" ht="20.25" customHeight="1">
      <c r="B162" s="247">
        <v>151.0</v>
      </c>
      <c r="C162" s="45"/>
      <c r="D162" s="248"/>
      <c r="E162" s="249"/>
      <c r="F162" s="249"/>
      <c r="G162" s="249"/>
      <c r="H162" s="249"/>
      <c r="I162" s="249"/>
    </row>
    <row r="163" ht="20.25" customHeight="1">
      <c r="B163" s="247">
        <v>152.0</v>
      </c>
      <c r="C163" s="45"/>
      <c r="D163" s="248"/>
      <c r="E163" s="249"/>
      <c r="F163" s="249"/>
      <c r="G163" s="249"/>
      <c r="H163" s="249"/>
      <c r="I163" s="249"/>
    </row>
    <row r="164" ht="20.25" customHeight="1">
      <c r="B164" s="247">
        <v>153.0</v>
      </c>
      <c r="C164" s="45"/>
      <c r="D164" s="248"/>
      <c r="E164" s="249"/>
      <c r="F164" s="249"/>
      <c r="G164" s="249"/>
      <c r="H164" s="249"/>
      <c r="I164" s="249"/>
    </row>
    <row r="165" ht="20.25" customHeight="1">
      <c r="B165" s="247">
        <v>154.0</v>
      </c>
      <c r="C165" s="45"/>
      <c r="D165" s="248"/>
      <c r="E165" s="249"/>
      <c r="F165" s="249"/>
      <c r="G165" s="249"/>
      <c r="H165" s="249"/>
      <c r="I165" s="249"/>
    </row>
    <row r="166" ht="20.25" customHeight="1">
      <c r="B166" s="247">
        <v>155.0</v>
      </c>
      <c r="C166" s="45"/>
      <c r="D166" s="248"/>
      <c r="E166" s="249"/>
      <c r="F166" s="249"/>
      <c r="G166" s="249"/>
      <c r="H166" s="249"/>
      <c r="I166" s="249"/>
    </row>
    <row r="167" ht="20.25" customHeight="1">
      <c r="B167" s="247">
        <v>156.0</v>
      </c>
      <c r="C167" s="45"/>
      <c r="D167" s="248"/>
      <c r="E167" s="249"/>
      <c r="F167" s="249"/>
      <c r="G167" s="249"/>
      <c r="H167" s="249"/>
      <c r="I167" s="249"/>
    </row>
    <row r="168" ht="20.25" customHeight="1">
      <c r="B168" s="247">
        <v>157.0</v>
      </c>
      <c r="C168" s="45"/>
      <c r="D168" s="248"/>
      <c r="E168" s="249"/>
      <c r="F168" s="249"/>
      <c r="G168" s="249"/>
      <c r="H168" s="249"/>
      <c r="I168" s="249"/>
    </row>
    <row r="169" ht="20.25" customHeight="1">
      <c r="B169" s="247">
        <v>158.0</v>
      </c>
      <c r="C169" s="45"/>
      <c r="D169" s="248"/>
      <c r="E169" s="249"/>
      <c r="F169" s="249"/>
      <c r="G169" s="249"/>
      <c r="H169" s="249"/>
      <c r="I169" s="249"/>
    </row>
    <row r="170" ht="20.25" customHeight="1">
      <c r="B170" s="247">
        <v>159.0</v>
      </c>
      <c r="C170" s="45"/>
      <c r="D170" s="248"/>
      <c r="E170" s="249"/>
      <c r="F170" s="249"/>
      <c r="G170" s="249"/>
      <c r="H170" s="249"/>
      <c r="I170" s="249"/>
    </row>
    <row r="171" ht="20.25" customHeight="1">
      <c r="B171" s="247">
        <v>160.0</v>
      </c>
      <c r="C171" s="45"/>
      <c r="D171" s="248"/>
      <c r="E171" s="249"/>
      <c r="F171" s="249"/>
      <c r="G171" s="249"/>
      <c r="H171" s="249"/>
      <c r="I171" s="249"/>
    </row>
    <row r="172" ht="20.25" customHeight="1">
      <c r="B172" s="247">
        <v>161.0</v>
      </c>
      <c r="C172" s="45"/>
      <c r="D172" s="248"/>
      <c r="E172" s="249"/>
      <c r="F172" s="249"/>
      <c r="G172" s="249"/>
      <c r="H172" s="249"/>
      <c r="I172" s="249"/>
    </row>
    <row r="173" ht="20.25" customHeight="1">
      <c r="B173" s="247">
        <v>162.0</v>
      </c>
      <c r="C173" s="45"/>
      <c r="D173" s="248"/>
      <c r="E173" s="249"/>
      <c r="F173" s="249"/>
      <c r="G173" s="249"/>
      <c r="H173" s="249"/>
      <c r="I173" s="249"/>
    </row>
    <row r="174" ht="20.25" customHeight="1">
      <c r="B174" s="247">
        <v>163.0</v>
      </c>
      <c r="C174" s="45"/>
      <c r="D174" s="248"/>
      <c r="E174" s="249"/>
      <c r="F174" s="249"/>
      <c r="G174" s="249"/>
      <c r="H174" s="249"/>
      <c r="I174" s="249"/>
    </row>
    <row r="175" ht="20.25" customHeight="1">
      <c r="B175" s="247">
        <v>164.0</v>
      </c>
      <c r="C175" s="45"/>
      <c r="D175" s="248"/>
      <c r="E175" s="249"/>
      <c r="F175" s="249"/>
      <c r="G175" s="249"/>
      <c r="H175" s="249"/>
      <c r="I175" s="249"/>
    </row>
    <row r="176" ht="20.25" customHeight="1">
      <c r="B176" s="247">
        <v>165.0</v>
      </c>
      <c r="C176" s="45"/>
      <c r="D176" s="248"/>
      <c r="E176" s="249"/>
      <c r="F176" s="249"/>
      <c r="G176" s="249"/>
      <c r="H176" s="249"/>
      <c r="I176" s="249"/>
    </row>
    <row r="177" ht="20.25" customHeight="1">
      <c r="B177" s="247">
        <v>166.0</v>
      </c>
      <c r="C177" s="45"/>
      <c r="D177" s="248"/>
      <c r="E177" s="249"/>
      <c r="F177" s="249"/>
      <c r="G177" s="249"/>
      <c r="H177" s="249"/>
      <c r="I177" s="249"/>
    </row>
    <row r="178" ht="20.25" customHeight="1">
      <c r="B178" s="247">
        <v>167.0</v>
      </c>
      <c r="C178" s="45"/>
      <c r="D178" s="248"/>
      <c r="E178" s="249"/>
      <c r="F178" s="249"/>
      <c r="G178" s="249"/>
      <c r="H178" s="249"/>
      <c r="I178" s="249"/>
    </row>
    <row r="179" ht="20.25" customHeight="1">
      <c r="B179" s="247">
        <v>168.0</v>
      </c>
      <c r="C179" s="45"/>
      <c r="D179" s="248"/>
      <c r="E179" s="249"/>
      <c r="F179" s="249"/>
      <c r="G179" s="249"/>
      <c r="H179" s="249"/>
      <c r="I179" s="249"/>
    </row>
    <row r="180" ht="20.25" customHeight="1">
      <c r="B180" s="247">
        <v>169.0</v>
      </c>
      <c r="C180" s="45"/>
      <c r="D180" s="248"/>
      <c r="E180" s="249"/>
      <c r="F180" s="249"/>
      <c r="G180" s="249"/>
      <c r="H180" s="249"/>
      <c r="I180" s="249"/>
    </row>
    <row r="181" ht="20.25" customHeight="1">
      <c r="B181" s="247">
        <v>170.0</v>
      </c>
      <c r="C181" s="45"/>
      <c r="D181" s="248"/>
      <c r="E181" s="249"/>
      <c r="F181" s="249"/>
      <c r="G181" s="249"/>
      <c r="H181" s="249"/>
      <c r="I181" s="249"/>
    </row>
    <row r="182" ht="20.25" customHeight="1">
      <c r="B182" s="247">
        <v>171.0</v>
      </c>
      <c r="C182" s="45"/>
      <c r="D182" s="248"/>
      <c r="E182" s="249"/>
      <c r="F182" s="249"/>
      <c r="G182" s="249"/>
      <c r="H182" s="249"/>
      <c r="I182" s="249"/>
    </row>
    <row r="183" ht="20.25" customHeight="1">
      <c r="B183" s="247">
        <v>172.0</v>
      </c>
      <c r="C183" s="45"/>
      <c r="D183" s="248"/>
      <c r="E183" s="249"/>
      <c r="F183" s="249"/>
      <c r="G183" s="249"/>
      <c r="H183" s="249"/>
      <c r="I183" s="249"/>
    </row>
    <row r="184" ht="20.25" customHeight="1">
      <c r="B184" s="247">
        <v>173.0</v>
      </c>
      <c r="C184" s="45"/>
      <c r="D184" s="248"/>
      <c r="E184" s="249"/>
      <c r="F184" s="249"/>
      <c r="G184" s="249"/>
      <c r="H184" s="249"/>
      <c r="I184" s="249"/>
    </row>
    <row r="185" ht="20.25" customHeight="1">
      <c r="B185" s="247">
        <v>174.0</v>
      </c>
      <c r="C185" s="45"/>
      <c r="D185" s="248"/>
      <c r="E185" s="249"/>
      <c r="F185" s="249"/>
      <c r="G185" s="249"/>
      <c r="H185" s="249"/>
      <c r="I185" s="249"/>
    </row>
    <row r="186" ht="20.25" customHeight="1">
      <c r="B186" s="247">
        <v>175.0</v>
      </c>
      <c r="C186" s="45"/>
      <c r="D186" s="248"/>
      <c r="E186" s="249"/>
      <c r="F186" s="249"/>
      <c r="G186" s="249"/>
      <c r="H186" s="249"/>
      <c r="I186" s="249"/>
    </row>
    <row r="187" ht="20.25" customHeight="1">
      <c r="B187" s="247">
        <v>176.0</v>
      </c>
      <c r="C187" s="45"/>
      <c r="D187" s="248"/>
      <c r="E187" s="249"/>
      <c r="F187" s="249"/>
      <c r="G187" s="249"/>
      <c r="H187" s="249"/>
      <c r="I187" s="249"/>
    </row>
    <row r="188" ht="20.25" customHeight="1">
      <c r="B188" s="247">
        <v>177.0</v>
      </c>
      <c r="C188" s="45"/>
      <c r="D188" s="248"/>
      <c r="E188" s="249"/>
      <c r="F188" s="249"/>
      <c r="G188" s="249"/>
      <c r="H188" s="249"/>
      <c r="I188" s="249"/>
    </row>
    <row r="189" ht="20.25" customHeight="1">
      <c r="B189" s="247">
        <v>178.0</v>
      </c>
      <c r="C189" s="45"/>
      <c r="D189" s="248"/>
      <c r="E189" s="249"/>
      <c r="F189" s="249"/>
      <c r="G189" s="249"/>
      <c r="H189" s="249"/>
      <c r="I189" s="249"/>
    </row>
    <row r="190" ht="20.25" customHeight="1">
      <c r="B190" s="247">
        <v>179.0</v>
      </c>
      <c r="C190" s="45"/>
      <c r="D190" s="248"/>
      <c r="E190" s="249"/>
      <c r="F190" s="249"/>
      <c r="G190" s="249"/>
      <c r="H190" s="249"/>
      <c r="I190" s="249"/>
    </row>
    <row r="191" ht="20.25" customHeight="1">
      <c r="B191" s="247">
        <v>180.0</v>
      </c>
      <c r="C191" s="45"/>
      <c r="D191" s="248"/>
      <c r="E191" s="249"/>
      <c r="F191" s="249"/>
      <c r="G191" s="249"/>
      <c r="H191" s="249"/>
      <c r="I191" s="249"/>
    </row>
    <row r="192" ht="20.25" customHeight="1">
      <c r="B192" s="247">
        <v>181.0</v>
      </c>
      <c r="C192" s="45"/>
      <c r="D192" s="248"/>
      <c r="E192" s="249"/>
      <c r="F192" s="249"/>
      <c r="G192" s="249"/>
      <c r="H192" s="249"/>
      <c r="I192" s="249"/>
    </row>
    <row r="193" ht="20.25" customHeight="1">
      <c r="B193" s="247">
        <v>182.0</v>
      </c>
      <c r="C193" s="45"/>
      <c r="D193" s="248"/>
      <c r="E193" s="249"/>
      <c r="F193" s="249"/>
      <c r="G193" s="249"/>
      <c r="H193" s="249"/>
      <c r="I193" s="249"/>
    </row>
    <row r="194" ht="20.25" customHeight="1">
      <c r="B194" s="247">
        <v>183.0</v>
      </c>
      <c r="C194" s="45"/>
      <c r="D194" s="248"/>
      <c r="E194" s="249"/>
      <c r="F194" s="249"/>
      <c r="G194" s="249"/>
      <c r="H194" s="249"/>
      <c r="I194" s="249"/>
    </row>
    <row r="195" ht="20.25" customHeight="1">
      <c r="B195" s="247">
        <v>184.0</v>
      </c>
      <c r="C195" s="45"/>
      <c r="D195" s="248"/>
      <c r="E195" s="249"/>
      <c r="F195" s="249"/>
      <c r="G195" s="249"/>
      <c r="H195" s="249"/>
      <c r="I195" s="249"/>
    </row>
    <row r="196" ht="20.25" customHeight="1">
      <c r="B196" s="247">
        <v>185.0</v>
      </c>
      <c r="C196" s="45"/>
      <c r="D196" s="248"/>
      <c r="E196" s="249"/>
      <c r="F196" s="249"/>
      <c r="G196" s="249"/>
      <c r="H196" s="249"/>
      <c r="I196" s="249"/>
    </row>
    <row r="197" ht="20.25" customHeight="1">
      <c r="B197" s="247">
        <v>186.0</v>
      </c>
      <c r="C197" s="45"/>
      <c r="D197" s="248"/>
      <c r="E197" s="249"/>
      <c r="F197" s="249"/>
      <c r="G197" s="249"/>
      <c r="H197" s="249"/>
      <c r="I197" s="249"/>
    </row>
    <row r="198" ht="20.25" customHeight="1">
      <c r="B198" s="247">
        <v>187.0</v>
      </c>
      <c r="C198" s="45"/>
      <c r="D198" s="248"/>
      <c r="E198" s="249"/>
      <c r="F198" s="249"/>
      <c r="G198" s="249"/>
      <c r="H198" s="249"/>
      <c r="I198" s="249"/>
    </row>
    <row r="199" ht="20.25" customHeight="1">
      <c r="B199" s="247">
        <v>188.0</v>
      </c>
      <c r="C199" s="45"/>
      <c r="D199" s="248"/>
      <c r="E199" s="249"/>
      <c r="F199" s="249"/>
      <c r="G199" s="249"/>
      <c r="H199" s="249"/>
      <c r="I199" s="249"/>
    </row>
    <row r="200" ht="20.25" customHeight="1">
      <c r="B200" s="247">
        <v>189.0</v>
      </c>
      <c r="C200" s="45"/>
      <c r="D200" s="248"/>
      <c r="E200" s="249"/>
      <c r="F200" s="249"/>
      <c r="G200" s="249"/>
      <c r="H200" s="249"/>
      <c r="I200" s="249"/>
    </row>
    <row r="201" ht="20.25" customHeight="1">
      <c r="B201" s="247">
        <v>190.0</v>
      </c>
      <c r="C201" s="45"/>
      <c r="D201" s="248"/>
      <c r="E201" s="249"/>
      <c r="F201" s="249"/>
      <c r="G201" s="249"/>
      <c r="H201" s="249"/>
      <c r="I201" s="249"/>
    </row>
    <row r="202" ht="20.25" customHeight="1">
      <c r="B202" s="247">
        <v>191.0</v>
      </c>
      <c r="C202" s="45"/>
      <c r="D202" s="248"/>
      <c r="E202" s="249"/>
      <c r="F202" s="249"/>
      <c r="G202" s="249"/>
      <c r="H202" s="249"/>
      <c r="I202" s="249"/>
    </row>
    <row r="203" ht="20.25" customHeight="1">
      <c r="B203" s="247">
        <v>192.0</v>
      </c>
      <c r="C203" s="45"/>
      <c r="D203" s="248"/>
      <c r="E203" s="249"/>
      <c r="F203" s="249"/>
      <c r="G203" s="249"/>
      <c r="H203" s="249"/>
      <c r="I203" s="249"/>
    </row>
    <row r="204" ht="20.25" customHeight="1">
      <c r="B204" s="247">
        <v>193.0</v>
      </c>
      <c r="C204" s="45"/>
      <c r="D204" s="248"/>
      <c r="E204" s="249"/>
      <c r="F204" s="249"/>
      <c r="G204" s="249"/>
      <c r="H204" s="249"/>
      <c r="I204" s="249"/>
    </row>
    <row r="205" ht="20.25" customHeight="1">
      <c r="B205" s="247">
        <v>194.0</v>
      </c>
      <c r="C205" s="45"/>
      <c r="D205" s="248"/>
      <c r="E205" s="249"/>
      <c r="F205" s="249"/>
      <c r="G205" s="249"/>
      <c r="H205" s="249"/>
      <c r="I205" s="249"/>
    </row>
    <row r="206" ht="20.25" customHeight="1">
      <c r="B206" s="247">
        <v>195.0</v>
      </c>
      <c r="C206" s="45"/>
      <c r="D206" s="248"/>
      <c r="E206" s="249"/>
      <c r="F206" s="249"/>
      <c r="G206" s="249"/>
      <c r="H206" s="249"/>
      <c r="I206" s="249"/>
    </row>
    <row r="207" ht="20.25" customHeight="1">
      <c r="B207" s="247">
        <v>196.0</v>
      </c>
      <c r="C207" s="45"/>
      <c r="D207" s="248"/>
      <c r="E207" s="249"/>
      <c r="F207" s="249"/>
      <c r="G207" s="249"/>
      <c r="H207" s="249"/>
      <c r="I207" s="249"/>
    </row>
    <row r="208" ht="20.25" customHeight="1">
      <c r="B208" s="247">
        <v>197.0</v>
      </c>
      <c r="C208" s="45"/>
      <c r="D208" s="248"/>
      <c r="E208" s="249"/>
      <c r="F208" s="249"/>
      <c r="G208" s="249"/>
      <c r="H208" s="249"/>
      <c r="I208" s="249"/>
    </row>
    <row r="209" ht="20.25" customHeight="1">
      <c r="B209" s="247">
        <v>198.0</v>
      </c>
      <c r="C209" s="45"/>
      <c r="D209" s="248"/>
      <c r="E209" s="249"/>
      <c r="F209" s="249"/>
      <c r="G209" s="249"/>
      <c r="H209" s="249"/>
      <c r="I209" s="249"/>
    </row>
    <row r="210" ht="20.25" customHeight="1">
      <c r="B210" s="247">
        <v>199.0</v>
      </c>
      <c r="C210" s="45"/>
      <c r="D210" s="248"/>
      <c r="E210" s="249"/>
      <c r="F210" s="249"/>
      <c r="G210" s="249"/>
      <c r="H210" s="249"/>
      <c r="I210" s="249"/>
    </row>
    <row r="211" ht="20.25" customHeight="1">
      <c r="B211" s="247">
        <v>200.0</v>
      </c>
      <c r="C211" s="45"/>
      <c r="D211" s="248"/>
      <c r="E211" s="249"/>
      <c r="F211" s="249"/>
      <c r="G211" s="249"/>
      <c r="H211" s="249"/>
      <c r="I211" s="249"/>
    </row>
    <row r="212" ht="20.25" customHeight="1">
      <c r="B212" s="247">
        <v>201.0</v>
      </c>
      <c r="C212" s="45"/>
      <c r="D212" s="248"/>
      <c r="E212" s="249"/>
      <c r="F212" s="249"/>
      <c r="G212" s="249"/>
      <c r="H212" s="249"/>
      <c r="I212" s="249"/>
    </row>
    <row r="213" ht="20.25" customHeight="1">
      <c r="B213" s="247">
        <v>202.0</v>
      </c>
      <c r="C213" s="45"/>
      <c r="D213" s="248"/>
      <c r="E213" s="249"/>
      <c r="F213" s="249"/>
      <c r="G213" s="249"/>
      <c r="H213" s="249"/>
      <c r="I213" s="249"/>
    </row>
    <row r="214" ht="20.25" customHeight="1">
      <c r="B214" s="247">
        <v>203.0</v>
      </c>
      <c r="C214" s="45"/>
      <c r="D214" s="248"/>
      <c r="E214" s="249"/>
      <c r="F214" s="249"/>
      <c r="G214" s="249"/>
      <c r="H214" s="249"/>
      <c r="I214" s="249"/>
    </row>
    <row r="215" ht="20.25" customHeight="1">
      <c r="B215" s="247">
        <v>204.0</v>
      </c>
      <c r="C215" s="45"/>
      <c r="D215" s="248"/>
      <c r="E215" s="249"/>
      <c r="F215" s="249"/>
      <c r="G215" s="249"/>
      <c r="H215" s="249"/>
      <c r="I215" s="249"/>
    </row>
    <row r="216" ht="20.25" customHeight="1">
      <c r="B216" s="247">
        <v>205.0</v>
      </c>
      <c r="C216" s="45"/>
      <c r="D216" s="248"/>
      <c r="E216" s="249"/>
      <c r="F216" s="249"/>
      <c r="G216" s="249"/>
      <c r="H216" s="249"/>
      <c r="I216" s="249"/>
    </row>
    <row r="217" ht="20.25" customHeight="1">
      <c r="B217" s="247">
        <v>206.0</v>
      </c>
      <c r="C217" s="45"/>
      <c r="D217" s="248"/>
      <c r="E217" s="249"/>
      <c r="F217" s="249"/>
      <c r="G217" s="249"/>
      <c r="H217" s="249"/>
      <c r="I217" s="249"/>
    </row>
    <row r="218" ht="20.25" customHeight="1">
      <c r="B218" s="247">
        <v>207.0</v>
      </c>
      <c r="C218" s="45"/>
      <c r="D218" s="248"/>
      <c r="E218" s="249"/>
      <c r="F218" s="249"/>
      <c r="G218" s="249"/>
      <c r="H218" s="249"/>
      <c r="I218" s="249"/>
    </row>
    <row r="219" ht="20.25" customHeight="1">
      <c r="B219" s="247">
        <v>208.0</v>
      </c>
      <c r="C219" s="45"/>
      <c r="D219" s="248"/>
      <c r="E219" s="249"/>
      <c r="F219" s="249"/>
      <c r="G219" s="249"/>
      <c r="H219" s="249"/>
      <c r="I219" s="249"/>
    </row>
    <row r="220" ht="20.25" customHeight="1">
      <c r="B220" s="247">
        <v>209.0</v>
      </c>
      <c r="C220" s="45"/>
      <c r="D220" s="248"/>
      <c r="E220" s="249"/>
      <c r="F220" s="249"/>
      <c r="G220" s="249"/>
      <c r="H220" s="249"/>
      <c r="I220" s="249"/>
    </row>
    <row r="221" ht="20.25" customHeight="1">
      <c r="B221" s="247">
        <v>210.0</v>
      </c>
      <c r="C221" s="45"/>
      <c r="D221" s="248"/>
      <c r="E221" s="249"/>
      <c r="F221" s="249"/>
      <c r="G221" s="249"/>
      <c r="H221" s="249"/>
      <c r="I221" s="249"/>
    </row>
    <row r="222" ht="20.25" customHeight="1">
      <c r="B222" s="247">
        <v>211.0</v>
      </c>
      <c r="C222" s="45"/>
      <c r="D222" s="248"/>
      <c r="E222" s="249"/>
      <c r="F222" s="249"/>
      <c r="G222" s="249"/>
      <c r="H222" s="249"/>
      <c r="I222" s="249"/>
    </row>
    <row r="223" ht="20.25" customHeight="1">
      <c r="B223" s="247">
        <v>212.0</v>
      </c>
      <c r="C223" s="45"/>
      <c r="D223" s="248"/>
      <c r="E223" s="249"/>
      <c r="F223" s="249"/>
      <c r="G223" s="249"/>
      <c r="H223" s="249"/>
      <c r="I223" s="249"/>
    </row>
    <row r="224" ht="20.25" customHeight="1">
      <c r="B224" s="247">
        <v>213.0</v>
      </c>
      <c r="C224" s="45"/>
      <c r="D224" s="248"/>
      <c r="E224" s="249"/>
      <c r="F224" s="249"/>
      <c r="G224" s="249"/>
      <c r="H224" s="249"/>
      <c r="I224" s="249"/>
    </row>
    <row r="225" ht="20.25" customHeight="1">
      <c r="B225" s="247">
        <v>214.0</v>
      </c>
      <c r="C225" s="45"/>
      <c r="D225" s="248"/>
      <c r="E225" s="249"/>
      <c r="F225" s="249"/>
      <c r="G225" s="249"/>
      <c r="H225" s="249"/>
      <c r="I225" s="249"/>
    </row>
    <row r="226" ht="20.25" customHeight="1">
      <c r="B226" s="247">
        <v>215.0</v>
      </c>
      <c r="C226" s="45"/>
      <c r="D226" s="248"/>
      <c r="E226" s="249"/>
      <c r="F226" s="249"/>
      <c r="G226" s="249"/>
      <c r="H226" s="249"/>
      <c r="I226" s="249"/>
    </row>
    <row r="227" ht="20.25" customHeight="1">
      <c r="B227" s="247">
        <v>216.0</v>
      </c>
      <c r="C227" s="45"/>
      <c r="D227" s="248"/>
      <c r="E227" s="249"/>
      <c r="F227" s="249"/>
      <c r="G227" s="249"/>
      <c r="H227" s="249"/>
      <c r="I227" s="249"/>
    </row>
    <row r="228" ht="20.25" customHeight="1">
      <c r="B228" s="247">
        <v>217.0</v>
      </c>
      <c r="C228" s="45"/>
      <c r="D228" s="248"/>
      <c r="E228" s="249"/>
      <c r="F228" s="249"/>
      <c r="G228" s="249"/>
      <c r="H228" s="249"/>
      <c r="I228" s="249"/>
    </row>
    <row r="229" ht="20.25" customHeight="1">
      <c r="B229" s="247">
        <v>218.0</v>
      </c>
      <c r="C229" s="45"/>
      <c r="D229" s="248"/>
      <c r="E229" s="249"/>
      <c r="F229" s="249"/>
      <c r="G229" s="249"/>
      <c r="H229" s="249"/>
      <c r="I229" s="249"/>
    </row>
    <row r="230" ht="20.25" customHeight="1">
      <c r="B230" s="247">
        <v>219.0</v>
      </c>
      <c r="C230" s="45"/>
      <c r="D230" s="248"/>
      <c r="E230" s="249"/>
      <c r="F230" s="249"/>
      <c r="G230" s="249"/>
      <c r="H230" s="249"/>
      <c r="I230" s="249"/>
    </row>
    <row r="231" ht="20.25" customHeight="1">
      <c r="B231" s="247">
        <v>220.0</v>
      </c>
      <c r="C231" s="45"/>
      <c r="D231" s="248"/>
      <c r="E231" s="249"/>
      <c r="F231" s="249"/>
      <c r="G231" s="249"/>
      <c r="H231" s="249"/>
      <c r="I231" s="249"/>
    </row>
    <row r="232" ht="20.25" customHeight="1">
      <c r="B232" s="247">
        <v>221.0</v>
      </c>
      <c r="C232" s="45"/>
      <c r="D232" s="248"/>
      <c r="E232" s="249"/>
      <c r="F232" s="249"/>
      <c r="G232" s="249"/>
      <c r="H232" s="249"/>
      <c r="I232" s="249"/>
    </row>
    <row r="233" ht="20.25" customHeight="1">
      <c r="B233" s="247">
        <v>222.0</v>
      </c>
      <c r="C233" s="45"/>
      <c r="D233" s="248"/>
      <c r="E233" s="249"/>
      <c r="F233" s="249"/>
      <c r="G233" s="249"/>
      <c r="H233" s="249"/>
      <c r="I233" s="249"/>
    </row>
    <row r="234" ht="20.25" customHeight="1">
      <c r="B234" s="247">
        <v>223.0</v>
      </c>
      <c r="C234" s="45"/>
      <c r="D234" s="248"/>
      <c r="E234" s="249"/>
      <c r="F234" s="249"/>
      <c r="G234" s="249"/>
      <c r="H234" s="249"/>
      <c r="I234" s="249"/>
    </row>
    <row r="235" ht="20.25" customHeight="1">
      <c r="B235" s="247">
        <v>224.0</v>
      </c>
      <c r="C235" s="45"/>
      <c r="D235" s="248"/>
      <c r="E235" s="249"/>
      <c r="F235" s="249"/>
      <c r="G235" s="249"/>
      <c r="H235" s="249"/>
      <c r="I235" s="249"/>
    </row>
    <row r="236" ht="48.0" customHeight="1">
      <c r="B236" s="250"/>
      <c r="C236" s="251" t="s">
        <v>176</v>
      </c>
      <c r="D236" s="2"/>
      <c r="E236" s="252">
        <f t="shared" ref="E236:I236" si="1">COUNTIF(E$12:E$235,"A   Excellent")+COUNTIF(E$12:E$235,"B    Good")</f>
        <v>0</v>
      </c>
      <c r="F236" s="252">
        <f t="shared" si="1"/>
        <v>0</v>
      </c>
      <c r="G236" s="252">
        <f t="shared" si="1"/>
        <v>0</v>
      </c>
      <c r="H236" s="252">
        <f t="shared" si="1"/>
        <v>0</v>
      </c>
      <c r="I236" s="252">
        <f t="shared" si="1"/>
        <v>0</v>
      </c>
      <c r="J236" s="95"/>
    </row>
    <row r="237" ht="44.25" customHeight="1">
      <c r="C237" s="251" t="s">
        <v>177</v>
      </c>
      <c r="D237" s="2"/>
      <c r="E237" s="252">
        <f t="shared" ref="E237:I237" si="2">COUNTA(E$12:E$235)</f>
        <v>0</v>
      </c>
      <c r="F237" s="252">
        <f t="shared" si="2"/>
        <v>0</v>
      </c>
      <c r="G237" s="252">
        <f t="shared" si="2"/>
        <v>0</v>
      </c>
      <c r="H237" s="252">
        <f t="shared" si="2"/>
        <v>0</v>
      </c>
      <c r="I237" s="252">
        <f t="shared" si="2"/>
        <v>0</v>
      </c>
      <c r="J237" s="95"/>
    </row>
    <row r="238" ht="50.25" customHeight="1">
      <c r="C238" s="251" t="s">
        <v>178</v>
      </c>
      <c r="D238" s="2"/>
      <c r="E238" s="253" t="str">
        <f t="shared" ref="E238:I238" si="3">E236/E237*100</f>
        <v>#DIV/0!</v>
      </c>
      <c r="F238" s="253" t="str">
        <f t="shared" si="3"/>
        <v>#DIV/0!</v>
      </c>
      <c r="G238" s="253" t="str">
        <f t="shared" si="3"/>
        <v>#DIV/0!</v>
      </c>
      <c r="H238" s="253" t="str">
        <f t="shared" si="3"/>
        <v>#DIV/0!</v>
      </c>
      <c r="I238" s="253" t="str">
        <f t="shared" si="3"/>
        <v>#DIV/0!</v>
      </c>
      <c r="J238" s="95"/>
    </row>
    <row r="239" ht="29.25" customHeight="1">
      <c r="D239" s="254" t="s">
        <v>179</v>
      </c>
      <c r="J239" s="95"/>
    </row>
    <row r="240" ht="20.25" customHeight="1">
      <c r="D240" s="255"/>
      <c r="E240" s="255" t="s">
        <v>180</v>
      </c>
      <c r="F240" s="255" t="s">
        <v>172</v>
      </c>
      <c r="G240" s="255" t="s">
        <v>173</v>
      </c>
      <c r="H240" s="255" t="s">
        <v>174</v>
      </c>
      <c r="I240" s="255" t="s">
        <v>181</v>
      </c>
      <c r="J240" s="95"/>
    </row>
    <row r="241" ht="27.75" customHeight="1">
      <c r="D241" s="256" t="str">
        <f>'set target form'!E$9</f>
        <v>CO1</v>
      </c>
      <c r="E241" s="257">
        <v>1.0</v>
      </c>
      <c r="F241" s="258">
        <v>1.0</v>
      </c>
      <c r="G241" s="258">
        <v>1.0</v>
      </c>
      <c r="H241" s="258">
        <v>1.0</v>
      </c>
      <c r="I241" s="259"/>
      <c r="J241" s="95"/>
    </row>
    <row r="242" ht="26.25" customHeight="1">
      <c r="D242" s="256" t="str">
        <f>'set target form'!F9</f>
        <v>CO2</v>
      </c>
      <c r="E242" s="260"/>
      <c r="F242" s="259">
        <v>1.0</v>
      </c>
      <c r="G242" s="259"/>
      <c r="H242" s="259"/>
      <c r="I242" s="260"/>
      <c r="J242" s="95"/>
    </row>
    <row r="243" ht="26.25" customHeight="1">
      <c r="D243" s="256" t="str">
        <f>'set target form'!G9</f>
        <v>CO3</v>
      </c>
      <c r="E243" s="258">
        <v>1.0</v>
      </c>
      <c r="F243" s="258">
        <v>1.0</v>
      </c>
      <c r="G243" s="259">
        <v>1.0</v>
      </c>
      <c r="H243" s="259"/>
      <c r="I243" s="258">
        <v>1.0</v>
      </c>
      <c r="J243" s="95"/>
    </row>
    <row r="244" ht="29.25" customHeight="1">
      <c r="D244" s="256" t="str">
        <f>'set target form'!H9</f>
        <v>CO4</v>
      </c>
      <c r="E244" s="258">
        <v>1.0</v>
      </c>
      <c r="F244" s="258">
        <v>1.0</v>
      </c>
      <c r="G244" s="258">
        <v>1.0</v>
      </c>
      <c r="H244" s="259">
        <v>1.0</v>
      </c>
      <c r="I244" s="259"/>
      <c r="J244" s="95"/>
    </row>
    <row r="245" ht="31.5" customHeight="1">
      <c r="D245" s="256" t="str">
        <f>'set target form'!I9</f>
        <v>CO5</v>
      </c>
      <c r="E245" s="259"/>
      <c r="F245" s="259"/>
      <c r="G245" s="258">
        <v>1.0</v>
      </c>
      <c r="H245" s="259"/>
      <c r="I245" s="259">
        <v>1.0</v>
      </c>
      <c r="J245" s="95"/>
    </row>
    <row r="246" ht="20.25" customHeight="1">
      <c r="D246" s="250"/>
      <c r="E246" s="95"/>
      <c r="F246" s="95"/>
      <c r="G246" s="95"/>
      <c r="H246" s="95"/>
      <c r="I246" s="95"/>
      <c r="J246" s="95"/>
    </row>
    <row r="247" ht="94.5" customHeight="1">
      <c r="E247" s="95"/>
      <c r="F247" s="95"/>
      <c r="G247" s="95"/>
      <c r="H247" s="95"/>
      <c r="I247" s="95"/>
      <c r="J247" s="261" t="s">
        <v>182</v>
      </c>
      <c r="K247" s="262" t="s">
        <v>183</v>
      </c>
    </row>
    <row r="248" ht="28.5" customHeight="1">
      <c r="D248" s="263" t="str">
        <f>'set target form'!E9</f>
        <v>CO1</v>
      </c>
      <c r="E248" s="264" t="str">
        <f t="shared" ref="E248:I248" si="4">E$238*E241</f>
        <v>#DIV/0!</v>
      </c>
      <c r="F248" s="264" t="str">
        <f t="shared" si="4"/>
        <v>#DIV/0!</v>
      </c>
      <c r="G248" s="264" t="str">
        <f t="shared" si="4"/>
        <v>#DIV/0!</v>
      </c>
      <c r="H248" s="264" t="str">
        <f t="shared" si="4"/>
        <v>#DIV/0!</v>
      </c>
      <c r="I248" s="264" t="str">
        <f t="shared" si="4"/>
        <v>#DIV/0!</v>
      </c>
      <c r="J248" s="264" t="str">
        <f t="shared" ref="J248:J252" si="6">SUM(E248:I248)/COUNT(E241:I241)</f>
        <v>#DIV/0!</v>
      </c>
      <c r="K248" s="265" t="str">
        <f>IF(J248&lt;'set target form'!$I$14,0, IF(J248&lt;'set target form'!$I$15,1, IF(J248&lt;'set target form'!$I$16,2,3)))</f>
        <v>#DIV/0!</v>
      </c>
    </row>
    <row r="249" ht="28.5" customHeight="1">
      <c r="D249" s="256" t="str">
        <f>'set target form'!F9</f>
        <v>CO2</v>
      </c>
      <c r="E249" s="266" t="str">
        <f t="shared" ref="E249:I249" si="5">E$238*E242</f>
        <v>#DIV/0!</v>
      </c>
      <c r="F249" s="266" t="str">
        <f t="shared" si="5"/>
        <v>#DIV/0!</v>
      </c>
      <c r="G249" s="266" t="str">
        <f t="shared" si="5"/>
        <v>#DIV/0!</v>
      </c>
      <c r="H249" s="266" t="str">
        <f t="shared" si="5"/>
        <v>#DIV/0!</v>
      </c>
      <c r="I249" s="266" t="str">
        <f t="shared" si="5"/>
        <v>#DIV/0!</v>
      </c>
      <c r="J249" s="266" t="str">
        <f t="shared" si="6"/>
        <v>#DIV/0!</v>
      </c>
      <c r="K249" s="267" t="str">
        <f>IF(J249&lt;'set target form'!$I$14,0, IF(J249&lt;'set target form'!$I$15,1, IF(J249&lt;'set target form'!$I$16,2,3)))</f>
        <v>#DIV/0!</v>
      </c>
    </row>
    <row r="250" ht="28.5" customHeight="1">
      <c r="D250" s="256" t="str">
        <f>'set target form'!G9</f>
        <v>CO3</v>
      </c>
      <c r="E250" s="266" t="str">
        <f t="shared" ref="E250:I250" si="7">E$238*E243</f>
        <v>#DIV/0!</v>
      </c>
      <c r="F250" s="266" t="str">
        <f t="shared" si="7"/>
        <v>#DIV/0!</v>
      </c>
      <c r="G250" s="266" t="str">
        <f t="shared" si="7"/>
        <v>#DIV/0!</v>
      </c>
      <c r="H250" s="266" t="str">
        <f t="shared" si="7"/>
        <v>#DIV/0!</v>
      </c>
      <c r="I250" s="266" t="str">
        <f t="shared" si="7"/>
        <v>#DIV/0!</v>
      </c>
      <c r="J250" s="266" t="str">
        <f t="shared" si="6"/>
        <v>#DIV/0!</v>
      </c>
      <c r="K250" s="267" t="str">
        <f>IF(J250&lt;'set target form'!$I$14,0, IF(J250&lt;'set target form'!$I$15,1, IF(J250&lt;'set target form'!$I$16,2,3)))</f>
        <v>#DIV/0!</v>
      </c>
    </row>
    <row r="251" ht="28.5" customHeight="1">
      <c r="D251" s="256" t="str">
        <f>'set target form'!H9</f>
        <v>CO4</v>
      </c>
      <c r="E251" s="266" t="str">
        <f t="shared" ref="E251:I251" si="8">E$238*E244</f>
        <v>#DIV/0!</v>
      </c>
      <c r="F251" s="266" t="str">
        <f t="shared" si="8"/>
        <v>#DIV/0!</v>
      </c>
      <c r="G251" s="266" t="str">
        <f t="shared" si="8"/>
        <v>#DIV/0!</v>
      </c>
      <c r="H251" s="266" t="str">
        <f t="shared" si="8"/>
        <v>#DIV/0!</v>
      </c>
      <c r="I251" s="266" t="str">
        <f t="shared" si="8"/>
        <v>#DIV/0!</v>
      </c>
      <c r="J251" s="266" t="str">
        <f t="shared" si="6"/>
        <v>#DIV/0!</v>
      </c>
      <c r="K251" s="267" t="str">
        <f>IF(J251&lt;'set target form'!$I$14,0, IF(J251&lt;'set target form'!$I$15,1, IF(J251&lt;'set target form'!$I$16,2,3)))</f>
        <v>#DIV/0!</v>
      </c>
    </row>
    <row r="252" ht="28.5" customHeight="1">
      <c r="D252" s="268" t="str">
        <f>'set target form'!I9</f>
        <v>CO5</v>
      </c>
      <c r="E252" s="269" t="str">
        <f t="shared" ref="E252:I252" si="9">E$238*E245</f>
        <v>#DIV/0!</v>
      </c>
      <c r="F252" s="269" t="str">
        <f t="shared" si="9"/>
        <v>#DIV/0!</v>
      </c>
      <c r="G252" s="269" t="str">
        <f t="shared" si="9"/>
        <v>#DIV/0!</v>
      </c>
      <c r="H252" s="269" t="str">
        <f t="shared" si="9"/>
        <v>#DIV/0!</v>
      </c>
      <c r="I252" s="269" t="str">
        <f t="shared" si="9"/>
        <v>#DIV/0!</v>
      </c>
      <c r="J252" s="269" t="str">
        <f t="shared" si="6"/>
        <v>#DIV/0!</v>
      </c>
      <c r="K252" s="270" t="str">
        <f>IF(J252&lt;'set target form'!$I$14,0, IF(J252&lt;'set target form'!$I$15,1, IF(J252&lt;'set target form'!$I$16,2,3)))</f>
        <v>#DIV/0!</v>
      </c>
    </row>
    <row r="253" ht="20.25" customHeight="1"/>
    <row r="254" ht="20.25" customHeight="1"/>
    <row r="255" ht="20.25" customHeight="1"/>
    <row r="256" ht="20.25" customHeight="1"/>
    <row r="257" ht="20.25" customHeight="1"/>
    <row r="258" ht="20.25" customHeight="1"/>
    <row r="259" ht="20.25" customHeight="1"/>
    <row r="260" ht="20.25" customHeight="1"/>
    <row r="261" ht="20.25" customHeight="1"/>
    <row r="262" ht="20.25" customHeight="1"/>
    <row r="263" ht="20.25" customHeight="1"/>
    <row r="264" ht="20.25" customHeight="1"/>
    <row r="265" ht="20.25" customHeight="1"/>
    <row r="266" ht="20.25" customHeight="1"/>
    <row r="267" ht="20.25" customHeight="1"/>
    <row r="268" ht="20.25" customHeight="1"/>
    <row r="269" ht="20.25" customHeight="1"/>
    <row r="270" ht="20.25" customHeight="1"/>
    <row r="271" ht="20.25" customHeight="1"/>
    <row r="272" ht="20.25" customHeight="1"/>
    <row r="273" ht="20.25" customHeight="1"/>
    <row r="274" ht="20.25" customHeight="1"/>
    <row r="275" ht="20.25" customHeight="1"/>
    <row r="276" ht="20.25" customHeight="1"/>
    <row r="277" ht="20.25" customHeight="1"/>
    <row r="278" ht="20.25" customHeight="1"/>
    <row r="279" ht="20.25" customHeight="1"/>
    <row r="280" ht="20.25" customHeight="1"/>
    <row r="281" ht="20.25" customHeight="1"/>
    <row r="282" ht="20.25" customHeight="1"/>
    <row r="283" ht="20.25" customHeight="1"/>
    <row r="284" ht="20.25" customHeight="1"/>
    <row r="285" ht="20.25" customHeight="1"/>
    <row r="286" ht="20.25" customHeight="1"/>
    <row r="287" ht="20.25" customHeight="1"/>
    <row r="288" ht="20.25" customHeight="1"/>
    <row r="289" ht="20.25" customHeight="1"/>
    <row r="290" ht="20.25" customHeight="1"/>
    <row r="291" ht="20.25" customHeight="1"/>
    <row r="292" ht="20.25" customHeight="1"/>
    <row r="293" ht="20.25" customHeight="1"/>
    <row r="294" ht="20.25" customHeight="1"/>
    <row r="295" ht="20.25" customHeight="1"/>
    <row r="296" ht="20.25" customHeight="1"/>
    <row r="297" ht="20.25" customHeight="1"/>
    <row r="298" ht="20.25" customHeight="1"/>
    <row r="299" ht="20.25" customHeight="1"/>
    <row r="300" ht="20.25" customHeight="1"/>
    <row r="301" ht="20.25" customHeight="1"/>
    <row r="302" ht="20.25" customHeight="1"/>
    <row r="303" ht="20.25" customHeight="1"/>
    <row r="304" ht="20.25" customHeight="1"/>
    <row r="305" ht="20.25" customHeight="1"/>
    <row r="306" ht="20.25" customHeight="1"/>
    <row r="307" ht="20.25" customHeight="1"/>
    <row r="308" ht="20.25" customHeight="1"/>
    <row r="309" ht="20.25" customHeight="1"/>
    <row r="310" ht="20.25" customHeight="1"/>
    <row r="311" ht="20.25" customHeight="1"/>
    <row r="312" ht="20.25" customHeight="1"/>
    <row r="313" ht="20.25" customHeight="1"/>
    <row r="314" ht="20.25" customHeight="1"/>
    <row r="315" ht="20.25" customHeight="1"/>
    <row r="316" ht="20.25" customHeight="1"/>
    <row r="317" ht="20.25" customHeight="1"/>
    <row r="318" ht="20.25" customHeight="1"/>
    <row r="319" ht="20.25" customHeight="1"/>
    <row r="320" ht="20.25" customHeight="1"/>
    <row r="321" ht="20.25" customHeight="1"/>
    <row r="322" ht="20.25" customHeight="1"/>
    <row r="323" ht="20.25" customHeight="1"/>
    <row r="324" ht="20.25" customHeight="1"/>
    <row r="325" ht="20.25" customHeight="1"/>
    <row r="326" ht="20.25" customHeight="1"/>
    <row r="327" ht="20.25" customHeight="1"/>
    <row r="328" ht="20.25" customHeight="1"/>
    <row r="329" ht="20.25" customHeight="1"/>
    <row r="330" ht="20.25" customHeight="1"/>
    <row r="331" ht="20.25" customHeight="1"/>
    <row r="332" ht="20.25" customHeight="1"/>
    <row r="333" ht="20.25" customHeight="1"/>
    <row r="334" ht="20.25" customHeight="1"/>
    <row r="335" ht="20.25" customHeight="1"/>
    <row r="336" ht="20.25" customHeight="1"/>
    <row r="337" ht="20.25" customHeight="1"/>
    <row r="338" ht="20.25" customHeight="1"/>
    <row r="339" ht="20.25" customHeight="1"/>
    <row r="340" ht="20.25" customHeight="1"/>
    <row r="341" ht="20.25" customHeight="1"/>
    <row r="342" ht="20.25" customHeight="1"/>
    <row r="343" ht="20.25" customHeight="1"/>
    <row r="344" ht="20.25" customHeight="1"/>
    <row r="345" ht="20.25" customHeight="1"/>
    <row r="346" ht="20.25" customHeight="1"/>
    <row r="347" ht="20.25" customHeight="1"/>
    <row r="348" ht="20.25" customHeight="1"/>
    <row r="349" ht="20.25" customHeight="1"/>
    <row r="350" ht="20.25" customHeight="1"/>
    <row r="351" ht="20.25" customHeight="1"/>
    <row r="352" ht="20.25" customHeight="1"/>
    <row r="353" ht="20.25" customHeight="1"/>
    <row r="354" ht="20.25" customHeight="1"/>
    <row r="355" ht="20.25" customHeight="1"/>
    <row r="356" ht="20.25" customHeight="1"/>
    <row r="357" ht="20.25" customHeight="1"/>
    <row r="358" ht="20.25" customHeight="1"/>
    <row r="359" ht="20.25" customHeight="1"/>
    <row r="360" ht="20.25" customHeight="1"/>
    <row r="361" ht="20.25" customHeight="1"/>
    <row r="362" ht="20.25" customHeight="1"/>
    <row r="363" ht="20.25" customHeight="1"/>
    <row r="364" ht="20.25" customHeight="1"/>
    <row r="365" ht="20.25" customHeight="1"/>
    <row r="366" ht="20.25" customHeight="1"/>
    <row r="367" ht="20.25" customHeight="1"/>
    <row r="368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  <row r="971" ht="20.25" customHeight="1"/>
    <row r="972" ht="20.25" customHeight="1"/>
    <row r="973" ht="20.25" customHeight="1"/>
    <row r="974" ht="20.25" customHeight="1"/>
    <row r="975" ht="20.25" customHeight="1"/>
    <row r="976" ht="20.25" customHeight="1"/>
    <row r="977" ht="20.25" customHeight="1"/>
    <row r="978" ht="20.25" customHeight="1"/>
    <row r="979" ht="20.25" customHeight="1"/>
    <row r="980" ht="20.25" customHeight="1"/>
    <row r="981" ht="20.25" customHeight="1"/>
    <row r="982" ht="20.25" customHeight="1"/>
    <row r="983" ht="20.25" customHeight="1"/>
    <row r="984" ht="20.25" customHeight="1"/>
    <row r="985" ht="20.25" customHeight="1"/>
    <row r="986" ht="20.25" customHeight="1"/>
    <row r="987" ht="20.25" customHeight="1"/>
    <row r="988" ht="20.25" customHeight="1"/>
    <row r="989" ht="20.25" customHeight="1"/>
    <row r="990" ht="20.25" customHeight="1"/>
    <row r="991" ht="20.25" customHeight="1"/>
    <row r="992" ht="20.25" customHeight="1"/>
    <row r="993" ht="20.25" customHeight="1"/>
    <row r="994" ht="20.25" customHeight="1"/>
    <row r="995" ht="20.25" customHeight="1"/>
    <row r="996" ht="20.25" customHeight="1"/>
    <row r="997" ht="20.25" customHeight="1"/>
    <row r="998" ht="20.25" customHeight="1"/>
    <row r="999" ht="20.25" customHeight="1"/>
    <row r="1000" ht="20.25" customHeight="1"/>
  </sheetData>
  <mergeCells count="19">
    <mergeCell ref="B1:K1"/>
    <mergeCell ref="B2:K2"/>
    <mergeCell ref="B3:K3"/>
    <mergeCell ref="E6:I6"/>
    <mergeCell ref="B7:I7"/>
    <mergeCell ref="B8:I8"/>
    <mergeCell ref="E9:I9"/>
    <mergeCell ref="D10:D11"/>
    <mergeCell ref="C236:D236"/>
    <mergeCell ref="C237:D237"/>
    <mergeCell ref="C238:D238"/>
    <mergeCell ref="D239:I239"/>
    <mergeCell ref="B10:B11"/>
    <mergeCell ref="C10:C11"/>
    <mergeCell ref="E10:E11"/>
    <mergeCell ref="F10:F11"/>
    <mergeCell ref="G10:G11"/>
    <mergeCell ref="H10:H11"/>
    <mergeCell ref="I10:I11"/>
  </mergeCells>
  <printOptions/>
  <pageMargins bottom="0.75" footer="0.0" header="0.0" left="0.7" right="0.7" top="0.75"/>
  <pageSetup orientation="portrait"/>
  <colBreaks count="1" manualBreakCount="1">
    <brk id="11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10.0"/>
    <col customWidth="1" min="4" max="4" width="15.29"/>
    <col customWidth="1" min="5" max="5" width="11.14"/>
    <col customWidth="1" min="6" max="6" width="12.43"/>
    <col customWidth="1" min="7" max="7" width="11.43"/>
    <col customWidth="1" min="8" max="8" width="9.14"/>
    <col customWidth="1" min="9" max="9" width="12.71"/>
    <col customWidth="1" min="10" max="10" width="12.29"/>
    <col customWidth="1" min="11" max="11" width="17.14"/>
    <col customWidth="1" min="12" max="12" width="8.71"/>
    <col customWidth="1" min="13" max="13" width="14.86"/>
    <col customWidth="1" min="14" max="14" width="11.43"/>
    <col customWidth="1" min="15" max="16" width="8.71"/>
  </cols>
  <sheetData>
    <row r="1" ht="20.25" customHeight="1">
      <c r="B1" s="28" t="s">
        <v>44</v>
      </c>
      <c r="N1" s="271"/>
      <c r="O1" s="271"/>
    </row>
    <row r="2" ht="18.75" customHeight="1">
      <c r="B2" s="272" t="str">
        <f>'set target form'!E2</f>
        <v>DEPARTMENT OF PHYSICS</v>
      </c>
      <c r="N2" s="273"/>
      <c r="O2" s="273"/>
    </row>
    <row r="3">
      <c r="B3" s="66" t="s">
        <v>184</v>
      </c>
      <c r="N3" s="179"/>
      <c r="O3" s="179"/>
    </row>
    <row r="4">
      <c r="B4" s="274" t="s">
        <v>47</v>
      </c>
      <c r="C4" s="2"/>
      <c r="D4" s="99" t="str">
        <f>'set target form'!E4</f>
        <v>21PHY22</v>
      </c>
      <c r="E4" s="2"/>
      <c r="F4" s="5" t="s">
        <v>49</v>
      </c>
      <c r="G4" s="275" t="str">
        <f>'set target form'!G4</f>
        <v>ENGINEERING PHYSICS</v>
      </c>
      <c r="H4" s="35"/>
      <c r="I4" s="35"/>
      <c r="J4" s="35"/>
      <c r="K4" s="35"/>
      <c r="L4" s="35"/>
      <c r="M4" s="35"/>
      <c r="N4" s="2"/>
    </row>
    <row r="5">
      <c r="B5" s="276" t="s">
        <v>51</v>
      </c>
      <c r="C5" s="35"/>
      <c r="D5" s="2"/>
      <c r="E5" s="276" t="str">
        <f>'set target form'!D6</f>
        <v>Nithin H M</v>
      </c>
      <c r="F5" s="35"/>
      <c r="G5" s="35"/>
      <c r="H5" s="35"/>
      <c r="I5" s="35"/>
      <c r="J5" s="35"/>
      <c r="K5" s="35"/>
      <c r="L5" s="35"/>
      <c r="M5" s="35"/>
      <c r="N5" s="2"/>
    </row>
    <row r="6">
      <c r="B6" s="274" t="s">
        <v>53</v>
      </c>
      <c r="C6" s="2"/>
      <c r="D6" s="99" t="str">
        <f>'set target form'!E7</f>
        <v>2021-22</v>
      </c>
      <c r="E6" s="2"/>
      <c r="F6" s="5" t="s">
        <v>55</v>
      </c>
      <c r="G6" s="276" t="str">
        <f>'set target form'!G7</f>
        <v>II</v>
      </c>
      <c r="H6" s="35"/>
      <c r="I6" s="35"/>
      <c r="J6" s="35"/>
      <c r="K6" s="35"/>
      <c r="L6" s="35"/>
      <c r="M6" s="35"/>
      <c r="N6" s="2"/>
    </row>
    <row r="7" ht="24.0" customHeight="1">
      <c r="B7" s="88" t="s">
        <v>185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2"/>
      <c r="O7" s="202"/>
      <c r="P7" s="202"/>
    </row>
    <row r="8" ht="69.75" customHeight="1">
      <c r="B8" s="277" t="s">
        <v>186</v>
      </c>
      <c r="C8" s="277" t="s">
        <v>187</v>
      </c>
      <c r="D8" s="277" t="s">
        <v>188</v>
      </c>
      <c r="E8" s="277" t="s">
        <v>189</v>
      </c>
      <c r="F8" s="277" t="s">
        <v>190</v>
      </c>
      <c r="G8" s="277" t="s">
        <v>191</v>
      </c>
      <c r="H8" s="277" t="s">
        <v>192</v>
      </c>
      <c r="I8" s="277" t="s">
        <v>193</v>
      </c>
      <c r="J8" s="277" t="s">
        <v>194</v>
      </c>
      <c r="K8" s="277" t="s">
        <v>195</v>
      </c>
      <c r="L8" s="277" t="s">
        <v>196</v>
      </c>
      <c r="M8" s="278" t="s">
        <v>197</v>
      </c>
      <c r="N8" s="277" t="s">
        <v>198</v>
      </c>
      <c r="O8" s="279"/>
      <c r="P8" s="279"/>
    </row>
    <row r="9" ht="18.0" customHeight="1">
      <c r="B9" s="280" t="str">
        <f>'set target form'!E9</f>
        <v>CO1</v>
      </c>
      <c r="C9" s="281" t="str">
        <f>'IA Test only'!AT241</f>
        <v>#DIV/0!</v>
      </c>
      <c r="D9" s="282" t="str">
        <f>'ASQM only'!AN238</f>
        <v>#DIV/0!</v>
      </c>
      <c r="E9" s="281" t="str">
        <f t="shared" ref="E9:E13" si="1">AVERAGE(C9:D9)</f>
        <v>#DIV/0!</v>
      </c>
      <c r="F9" s="281" t="str">
        <f>External!$F$242</f>
        <v>#DIV/0!</v>
      </c>
      <c r="G9" s="283" t="str">
        <f>'Exit survey'!$J248</f>
        <v>#DIV/0!</v>
      </c>
      <c r="H9" s="281" t="str">
        <f t="shared" ref="H9:H13" si="2">0.5*$E9</f>
        <v>#DIV/0!</v>
      </c>
      <c r="I9" s="281" t="str">
        <f t="shared" ref="I9:I13" si="3">0.5*F9</f>
        <v>#DIV/0!</v>
      </c>
      <c r="J9" s="281" t="str">
        <f t="shared" ref="J9:J13" si="4">H9+I9</f>
        <v>#DIV/0!</v>
      </c>
      <c r="K9" s="281" t="str">
        <f t="shared" ref="K9:K13" si="5">0.9*J9</f>
        <v>#DIV/0!</v>
      </c>
      <c r="L9" s="281" t="str">
        <f t="shared" ref="L9:L13" si="6">0.1*G9</f>
        <v>#DIV/0!</v>
      </c>
      <c r="M9" s="284" t="str">
        <f t="shared" ref="M9:M13" si="7">K9+L9</f>
        <v>#DIV/0!</v>
      </c>
      <c r="N9" s="284" t="str">
        <f>IF(M9&lt;'set target form'!$E$14,0, IF(M9&lt;'set target form'!$E$15,1, IF(M9&lt;'set target form'!$E$16,2,3)))</f>
        <v>#DIV/0!</v>
      </c>
      <c r="O9" s="279"/>
      <c r="P9" s="279"/>
    </row>
    <row r="10" ht="18.0" customHeight="1">
      <c r="B10" s="280" t="str">
        <f>'set target form'!F9</f>
        <v>CO2</v>
      </c>
      <c r="C10" s="281" t="str">
        <f>'IA Test only'!AX241</f>
        <v>#DIV/0!</v>
      </c>
      <c r="D10" s="282" t="str">
        <f>'ASQM only'!AR238</f>
        <v>#DIV/0!</v>
      </c>
      <c r="E10" s="281" t="str">
        <f t="shared" si="1"/>
        <v>#DIV/0!</v>
      </c>
      <c r="F10" s="281" t="str">
        <f>External!$F$242</f>
        <v>#DIV/0!</v>
      </c>
      <c r="G10" s="283" t="str">
        <f>'Exit survey'!$J249</f>
        <v>#DIV/0!</v>
      </c>
      <c r="H10" s="281" t="str">
        <f t="shared" si="2"/>
        <v>#DIV/0!</v>
      </c>
      <c r="I10" s="281" t="str">
        <f t="shared" si="3"/>
        <v>#DIV/0!</v>
      </c>
      <c r="J10" s="281" t="str">
        <f t="shared" si="4"/>
        <v>#DIV/0!</v>
      </c>
      <c r="K10" s="281" t="str">
        <f t="shared" si="5"/>
        <v>#DIV/0!</v>
      </c>
      <c r="L10" s="281" t="str">
        <f t="shared" si="6"/>
        <v>#DIV/0!</v>
      </c>
      <c r="M10" s="284" t="str">
        <f t="shared" si="7"/>
        <v>#DIV/0!</v>
      </c>
      <c r="N10" s="284" t="str">
        <f>IF(M10&lt;'set target form'!$E$14,0, IF(M10&lt;'set target form'!$E$15,1, IF(M10&lt;'set target form'!$E$16,2,3)))</f>
        <v>#DIV/0!</v>
      </c>
      <c r="O10" s="279"/>
      <c r="P10" s="279"/>
    </row>
    <row r="11" ht="18.0" customHeight="1">
      <c r="B11" s="280" t="str">
        <f>'set target form'!G9</f>
        <v>CO3</v>
      </c>
      <c r="C11" s="281" t="str">
        <f>'IA Test only'!BB241</f>
        <v>#DIV/0!</v>
      </c>
      <c r="D11" s="282" t="str">
        <f>'ASQM only'!AV238</f>
        <v>#DIV/0!</v>
      </c>
      <c r="E11" s="281" t="str">
        <f t="shared" si="1"/>
        <v>#DIV/0!</v>
      </c>
      <c r="F11" s="281" t="str">
        <f>External!$F$242</f>
        <v>#DIV/0!</v>
      </c>
      <c r="G11" s="283" t="str">
        <f>'Exit survey'!$J250</f>
        <v>#DIV/0!</v>
      </c>
      <c r="H11" s="281" t="str">
        <f t="shared" si="2"/>
        <v>#DIV/0!</v>
      </c>
      <c r="I11" s="281" t="str">
        <f t="shared" si="3"/>
        <v>#DIV/0!</v>
      </c>
      <c r="J11" s="281" t="str">
        <f t="shared" si="4"/>
        <v>#DIV/0!</v>
      </c>
      <c r="K11" s="281" t="str">
        <f t="shared" si="5"/>
        <v>#DIV/0!</v>
      </c>
      <c r="L11" s="281" t="str">
        <f t="shared" si="6"/>
        <v>#DIV/0!</v>
      </c>
      <c r="M11" s="284" t="str">
        <f t="shared" si="7"/>
        <v>#DIV/0!</v>
      </c>
      <c r="N11" s="284" t="str">
        <f>IF(M11&lt;'set target form'!$E$14,0, IF(M11&lt;'set target form'!$E$15,1, IF(M11&lt;'set target form'!$E$16,2,3)))</f>
        <v>#DIV/0!</v>
      </c>
      <c r="O11" s="279"/>
      <c r="P11" s="279"/>
    </row>
    <row r="12" ht="18.0" customHeight="1">
      <c r="B12" s="280" t="str">
        <f>'set target form'!H9</f>
        <v>CO4</v>
      </c>
      <c r="C12" s="281" t="str">
        <f>'IA Test only'!BF241</f>
        <v>#DIV/0!</v>
      </c>
      <c r="D12" s="282" t="str">
        <f>'ASQM only'!AZ238</f>
        <v>#DIV/0!</v>
      </c>
      <c r="E12" s="281" t="str">
        <f t="shared" si="1"/>
        <v>#DIV/0!</v>
      </c>
      <c r="F12" s="281" t="str">
        <f>External!$F$242</f>
        <v>#DIV/0!</v>
      </c>
      <c r="G12" s="283" t="str">
        <f>'Exit survey'!$J251</f>
        <v>#DIV/0!</v>
      </c>
      <c r="H12" s="281" t="str">
        <f t="shared" si="2"/>
        <v>#DIV/0!</v>
      </c>
      <c r="I12" s="281" t="str">
        <f t="shared" si="3"/>
        <v>#DIV/0!</v>
      </c>
      <c r="J12" s="281" t="str">
        <f t="shared" si="4"/>
        <v>#DIV/0!</v>
      </c>
      <c r="K12" s="281" t="str">
        <f t="shared" si="5"/>
        <v>#DIV/0!</v>
      </c>
      <c r="L12" s="281" t="str">
        <f t="shared" si="6"/>
        <v>#DIV/0!</v>
      </c>
      <c r="M12" s="284" t="str">
        <f t="shared" si="7"/>
        <v>#DIV/0!</v>
      </c>
      <c r="N12" s="284" t="str">
        <f>IF(M12&lt;'set target form'!$E$14,0, IF(M12&lt;'set target form'!$E$15,1, IF(M12&lt;'set target form'!$E$16,2,3)))</f>
        <v>#DIV/0!</v>
      </c>
      <c r="O12" s="279"/>
      <c r="P12" s="279"/>
    </row>
    <row r="13" ht="18.0" customHeight="1">
      <c r="B13" s="285" t="str">
        <f>'set target form'!I9</f>
        <v>CO5</v>
      </c>
      <c r="C13" s="281" t="str">
        <f>'IA Test only'!BJ241</f>
        <v>#DIV/0!</v>
      </c>
      <c r="D13" s="282" t="str">
        <f>'ASQM only'!BD238</f>
        <v>#DIV/0!</v>
      </c>
      <c r="E13" s="281" t="str">
        <f t="shared" si="1"/>
        <v>#DIV/0!</v>
      </c>
      <c r="F13" s="281" t="str">
        <f>External!$F$242</f>
        <v>#DIV/0!</v>
      </c>
      <c r="G13" s="283" t="str">
        <f>'Exit survey'!$J252</f>
        <v>#DIV/0!</v>
      </c>
      <c r="H13" s="281" t="str">
        <f t="shared" si="2"/>
        <v>#DIV/0!</v>
      </c>
      <c r="I13" s="281" t="str">
        <f t="shared" si="3"/>
        <v>#DIV/0!</v>
      </c>
      <c r="J13" s="281" t="str">
        <f t="shared" si="4"/>
        <v>#DIV/0!</v>
      </c>
      <c r="K13" s="281" t="str">
        <f t="shared" si="5"/>
        <v>#DIV/0!</v>
      </c>
      <c r="L13" s="281" t="str">
        <f t="shared" si="6"/>
        <v>#DIV/0!</v>
      </c>
      <c r="M13" s="284" t="str">
        <f t="shared" si="7"/>
        <v>#DIV/0!</v>
      </c>
      <c r="N13" s="284" t="str">
        <f>IF(M13&lt;'set target form'!$E$14,0, IF(M13&lt;'set target form'!$E$15,1, IF(M13&lt;'set target form'!$E$16,2,3)))</f>
        <v>#DIV/0!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2">
    <mergeCell ref="D4:E4"/>
    <mergeCell ref="B5:D5"/>
    <mergeCell ref="B6:C6"/>
    <mergeCell ref="D6:E6"/>
    <mergeCell ref="E5:N5"/>
    <mergeCell ref="G6:N6"/>
    <mergeCell ref="B7:N7"/>
    <mergeCell ref="B4:C4"/>
    <mergeCell ref="G4:N4"/>
    <mergeCell ref="B1:M1"/>
    <mergeCell ref="B2:M2"/>
    <mergeCell ref="B3:M3"/>
  </mergeCells>
  <printOptions/>
  <pageMargins bottom="0.75" footer="0.0" header="0.0" left="0.7" right="0.7" top="0.75"/>
  <pageSetup scale="75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57"/>
    <col customWidth="1" min="4" max="4" width="20.0"/>
    <col customWidth="1" min="5" max="5" width="13.43"/>
    <col customWidth="1" min="6" max="6" width="14.71"/>
    <col customWidth="1" min="7" max="9" width="12.86"/>
    <col customWidth="1" min="10" max="10" width="14.14"/>
    <col customWidth="1" min="11" max="11" width="13.57"/>
    <col customWidth="1" min="12" max="12" width="12.86"/>
    <col customWidth="1" min="13" max="13" width="15.14"/>
    <col customWidth="1" min="14" max="14" width="14.57"/>
    <col customWidth="1" min="15" max="15" width="13.14"/>
    <col customWidth="1" min="16" max="16" width="15.29"/>
    <col customWidth="1" min="17" max="17" width="14.14"/>
    <col customWidth="1" min="18" max="20" width="8.71"/>
  </cols>
  <sheetData>
    <row r="1" ht="20.25" customHeight="1">
      <c r="B1" s="28" t="s">
        <v>44</v>
      </c>
    </row>
    <row r="2" ht="18.75" customHeight="1">
      <c r="B2" s="28" t="str">
        <f>'set target form'!E2</f>
        <v>DEPARTMENT OF PHYSICS</v>
      </c>
    </row>
    <row r="3">
      <c r="B3" s="66" t="s">
        <v>199</v>
      </c>
    </row>
    <row r="4"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</row>
    <row r="5" ht="29.25" customHeight="1">
      <c r="C5" s="286" t="s">
        <v>47</v>
      </c>
      <c r="D5" s="2"/>
      <c r="E5" s="287" t="str">
        <f>'set target form'!E4</f>
        <v>21PHY22</v>
      </c>
      <c r="F5" s="2"/>
      <c r="G5" s="288" t="s">
        <v>49</v>
      </c>
      <c r="H5" s="289" t="str">
        <f>'set target form'!G4</f>
        <v>ENGINEERING PHYSICS</v>
      </c>
      <c r="I5" s="35"/>
      <c r="J5" s="35"/>
      <c r="K5" s="35"/>
      <c r="L5" s="35"/>
      <c r="M5" s="35"/>
      <c r="N5" s="2"/>
      <c r="O5" s="159"/>
      <c r="P5" s="159"/>
    </row>
    <row r="6" ht="33.0" customHeight="1">
      <c r="C6" s="286" t="s">
        <v>51</v>
      </c>
      <c r="D6" s="2"/>
      <c r="E6" s="286" t="str">
        <f>'set target form'!D6</f>
        <v>Nithin H M</v>
      </c>
      <c r="F6" s="35"/>
      <c r="G6" s="35"/>
      <c r="H6" s="35"/>
      <c r="I6" s="35"/>
      <c r="J6" s="35"/>
      <c r="K6" s="35"/>
      <c r="L6" s="35"/>
      <c r="M6" s="35"/>
      <c r="N6" s="2"/>
      <c r="O6" s="159"/>
      <c r="P6" s="159"/>
    </row>
    <row r="7" ht="23.25" customHeight="1">
      <c r="C7" s="286" t="s">
        <v>53</v>
      </c>
      <c r="D7" s="2"/>
      <c r="E7" s="287" t="str">
        <f>'set target form'!E7</f>
        <v>2021-22</v>
      </c>
      <c r="F7" s="2"/>
      <c r="G7" s="288" t="s">
        <v>55</v>
      </c>
      <c r="H7" s="286" t="str">
        <f>'set target form'!G7</f>
        <v>II</v>
      </c>
      <c r="I7" s="35"/>
      <c r="J7" s="35"/>
      <c r="K7" s="35"/>
      <c r="L7" s="35"/>
      <c r="M7" s="35"/>
      <c r="N7" s="2"/>
      <c r="O7" s="19"/>
      <c r="P7" s="19"/>
    </row>
    <row r="8" ht="23.25" customHeight="1">
      <c r="C8" s="18"/>
      <c r="D8" s="18"/>
      <c r="E8" s="95"/>
      <c r="F8" s="95"/>
      <c r="G8" s="6"/>
      <c r="H8" s="290"/>
      <c r="I8" s="290"/>
      <c r="J8" s="290"/>
      <c r="K8" s="290"/>
      <c r="L8" s="290"/>
      <c r="M8" s="290"/>
      <c r="N8" s="290"/>
      <c r="O8" s="19"/>
      <c r="P8" s="19"/>
    </row>
    <row r="9" ht="30.0" customHeight="1">
      <c r="B9" s="291" t="s">
        <v>200</v>
      </c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</row>
    <row r="10" ht="41.25" customHeight="1">
      <c r="B10" s="293" t="s">
        <v>201</v>
      </c>
      <c r="C10" s="294" t="s">
        <v>202</v>
      </c>
      <c r="D10" s="295" t="s">
        <v>203</v>
      </c>
      <c r="E10" s="295" t="s">
        <v>204</v>
      </c>
      <c r="F10" s="295" t="s">
        <v>205</v>
      </c>
      <c r="G10" s="295" t="s">
        <v>206</v>
      </c>
      <c r="H10" s="295" t="s">
        <v>207</v>
      </c>
      <c r="I10" s="295" t="s">
        <v>208</v>
      </c>
      <c r="J10" s="295" t="s">
        <v>209</v>
      </c>
      <c r="K10" s="295" t="s">
        <v>210</v>
      </c>
      <c r="L10" s="295" t="s">
        <v>211</v>
      </c>
      <c r="M10" s="295" t="s">
        <v>212</v>
      </c>
      <c r="N10" s="295" t="s">
        <v>213</v>
      </c>
      <c r="O10" s="295" t="s">
        <v>214</v>
      </c>
      <c r="P10" s="295" t="s">
        <v>215</v>
      </c>
      <c r="Q10" s="296" t="s">
        <v>216</v>
      </c>
    </row>
    <row r="11">
      <c r="B11" s="297" t="str">
        <f>'set target form'!E9</f>
        <v>CO1</v>
      </c>
      <c r="C11" s="298" t="str">
        <f>'CO attainment'!N9</f>
        <v>#DIV/0!</v>
      </c>
      <c r="D11" s="299">
        <v>3.0</v>
      </c>
      <c r="E11" s="299">
        <v>2.0</v>
      </c>
      <c r="F11" s="300"/>
      <c r="G11" s="300"/>
      <c r="H11" s="300"/>
      <c r="I11" s="300"/>
      <c r="J11" s="300"/>
      <c r="K11" s="300"/>
      <c r="L11" s="300"/>
      <c r="M11" s="300"/>
      <c r="N11" s="300"/>
      <c r="O11" s="301">
        <v>2.0</v>
      </c>
      <c r="P11" s="300"/>
      <c r="Q11" s="302"/>
    </row>
    <row r="12">
      <c r="B12" s="297" t="str">
        <f>'set target form'!F9</f>
        <v>CO2</v>
      </c>
      <c r="C12" s="298" t="str">
        <f>'CO attainment'!N10</f>
        <v>#DIV/0!</v>
      </c>
      <c r="D12" s="299">
        <v>3.0</v>
      </c>
      <c r="E12" s="299">
        <v>3.0</v>
      </c>
      <c r="F12" s="300"/>
      <c r="G12" s="300"/>
      <c r="H12" s="300"/>
      <c r="I12" s="300"/>
      <c r="J12" s="300"/>
      <c r="K12" s="300"/>
      <c r="L12" s="300"/>
      <c r="M12" s="300"/>
      <c r="N12" s="300"/>
      <c r="O12" s="301">
        <v>2.0</v>
      </c>
      <c r="P12" s="300"/>
      <c r="Q12" s="302"/>
    </row>
    <row r="13">
      <c r="B13" s="297" t="str">
        <f>'set target form'!G9</f>
        <v>CO3</v>
      </c>
      <c r="C13" s="298" t="str">
        <f>'CO attainment'!N11</f>
        <v>#DIV/0!</v>
      </c>
      <c r="D13" s="301">
        <v>3.0</v>
      </c>
      <c r="E13" s="299">
        <v>3.0</v>
      </c>
      <c r="F13" s="300"/>
      <c r="G13" s="300"/>
      <c r="H13" s="300"/>
      <c r="I13" s="300"/>
      <c r="J13" s="300"/>
      <c r="K13" s="300"/>
      <c r="L13" s="300"/>
      <c r="M13" s="300"/>
      <c r="N13" s="300"/>
      <c r="O13" s="301">
        <v>2.0</v>
      </c>
      <c r="P13" s="300"/>
      <c r="Q13" s="302"/>
    </row>
    <row r="14">
      <c r="B14" s="297" t="str">
        <f>'set target form'!H9</f>
        <v>CO4</v>
      </c>
      <c r="C14" s="298" t="str">
        <f>'CO attainment'!N12</f>
        <v>#DIV/0!</v>
      </c>
      <c r="D14" s="299">
        <v>3.0</v>
      </c>
      <c r="E14" s="299">
        <v>2.0</v>
      </c>
      <c r="F14" s="301">
        <v>1.0</v>
      </c>
      <c r="G14" s="300"/>
      <c r="H14" s="301">
        <v>1.0</v>
      </c>
      <c r="I14" s="300"/>
      <c r="J14" s="300"/>
      <c r="K14" s="300"/>
      <c r="L14" s="300"/>
      <c r="M14" s="300"/>
      <c r="N14" s="300"/>
      <c r="O14" s="301">
        <v>2.0</v>
      </c>
      <c r="P14" s="300"/>
      <c r="Q14" s="302"/>
    </row>
    <row r="15">
      <c r="B15" s="303" t="str">
        <f>'set target form'!I9</f>
        <v>CO5</v>
      </c>
      <c r="C15" s="304" t="str">
        <f>'CO attainment'!N13</f>
        <v>#DIV/0!</v>
      </c>
      <c r="D15" s="305">
        <v>3.0</v>
      </c>
      <c r="E15" s="305">
        <v>2.0</v>
      </c>
      <c r="F15" s="305">
        <v>1.0</v>
      </c>
      <c r="G15" s="306"/>
      <c r="H15" s="305">
        <v>2.0</v>
      </c>
      <c r="I15" s="306"/>
      <c r="J15" s="306"/>
      <c r="K15" s="305">
        <v>3.0</v>
      </c>
      <c r="L15" s="305">
        <v>3.0</v>
      </c>
      <c r="M15" s="306"/>
      <c r="N15" s="306"/>
      <c r="O15" s="307">
        <v>2.0</v>
      </c>
      <c r="P15" s="306"/>
      <c r="Q15" s="308"/>
    </row>
    <row r="16">
      <c r="B16" s="309" t="s">
        <v>217</v>
      </c>
      <c r="C16" s="310"/>
      <c r="D16" s="311" t="str">
        <f t="shared" ref="D16:Q16" si="1">SUMPRODUCT($C$11:$C$15,D$11:D$15)/SUM(D$11:D$15)</f>
        <v>#DIV/0!</v>
      </c>
      <c r="E16" s="311" t="str">
        <f t="shared" si="1"/>
        <v>#DIV/0!</v>
      </c>
      <c r="F16" s="311" t="str">
        <f t="shared" si="1"/>
        <v>#DIV/0!</v>
      </c>
      <c r="G16" s="311" t="str">
        <f t="shared" si="1"/>
        <v>#DIV/0!</v>
      </c>
      <c r="H16" s="311" t="str">
        <f t="shared" si="1"/>
        <v>#DIV/0!</v>
      </c>
      <c r="I16" s="311" t="str">
        <f t="shared" si="1"/>
        <v>#DIV/0!</v>
      </c>
      <c r="J16" s="311" t="str">
        <f t="shared" si="1"/>
        <v>#DIV/0!</v>
      </c>
      <c r="K16" s="311" t="str">
        <f t="shared" si="1"/>
        <v>#DIV/0!</v>
      </c>
      <c r="L16" s="311" t="str">
        <f t="shared" si="1"/>
        <v>#DIV/0!</v>
      </c>
      <c r="M16" s="311" t="str">
        <f t="shared" si="1"/>
        <v>#DIV/0!</v>
      </c>
      <c r="N16" s="311" t="str">
        <f t="shared" si="1"/>
        <v>#DIV/0!</v>
      </c>
      <c r="O16" s="311" t="str">
        <f t="shared" si="1"/>
        <v>#DIV/0!</v>
      </c>
      <c r="P16" s="311" t="str">
        <f t="shared" si="1"/>
        <v>#DIV/0!</v>
      </c>
      <c r="Q16" s="311" t="str">
        <f t="shared" si="1"/>
        <v>#DIV/0!</v>
      </c>
    </row>
    <row r="18" ht="15.0" customHeight="1">
      <c r="P18" s="312"/>
      <c r="Q18" s="31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3">
    <mergeCell ref="B1:Q1"/>
    <mergeCell ref="B2:Q2"/>
    <mergeCell ref="B3:Q3"/>
    <mergeCell ref="C5:D5"/>
    <mergeCell ref="E5:F5"/>
    <mergeCell ref="H5:N5"/>
    <mergeCell ref="C6:D6"/>
    <mergeCell ref="E6:N6"/>
    <mergeCell ref="C7:D7"/>
    <mergeCell ref="E7:F7"/>
    <mergeCell ref="H7:N7"/>
    <mergeCell ref="B9:Q9"/>
    <mergeCell ref="B16:C16"/>
  </mergeCells>
  <printOptions/>
  <pageMargins bottom="0.75" footer="0.0" header="0.0" left="0.7" right="0.7" top="0.75"/>
  <pageSetup orientation="portrait"/>
  <colBreaks count="1" manualBreakCount="1">
    <brk id="17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0"/>
    <col customWidth="1" min="5" max="7" width="16.0"/>
    <col customWidth="1" min="8" max="8" width="34.57"/>
    <col customWidth="1" min="9" max="18" width="8.71"/>
    <col customWidth="1" min="19" max="19" width="14.29"/>
    <col customWidth="1" min="20" max="20" width="20.57"/>
    <col customWidth="1" min="21" max="21" width="17.29"/>
    <col customWidth="1" min="22" max="22" width="18.86"/>
    <col customWidth="1" min="23" max="23" width="8.71"/>
    <col customWidth="1" min="24" max="24" width="18.43"/>
    <col customWidth="1" min="25" max="25" width="16.71"/>
    <col customWidth="1" min="26" max="26" width="36.14"/>
  </cols>
  <sheetData>
    <row r="1" ht="20.25" customHeight="1">
      <c r="C1" s="273"/>
      <c r="D1" s="28" t="s">
        <v>44</v>
      </c>
      <c r="J1" s="273"/>
      <c r="K1" s="273"/>
      <c r="L1" s="273"/>
      <c r="M1" s="273"/>
      <c r="N1" s="273"/>
      <c r="O1" s="273"/>
      <c r="R1" s="273"/>
      <c r="S1" s="28" t="s">
        <v>44</v>
      </c>
    </row>
    <row r="2" ht="18.75" customHeight="1">
      <c r="C2" s="273"/>
      <c r="D2" s="28" t="str">
        <f>'set target form'!E2</f>
        <v>DEPARTMENT OF PHYSICS</v>
      </c>
      <c r="I2" s="273"/>
      <c r="J2" s="273"/>
      <c r="K2" s="273"/>
      <c r="L2" s="273"/>
      <c r="M2" s="273"/>
      <c r="N2" s="273"/>
      <c r="O2" s="273"/>
      <c r="R2" s="273"/>
      <c r="S2" s="28" t="str">
        <f>'set target form'!E2</f>
        <v>DEPARTMENT OF PHYSICS</v>
      </c>
    </row>
    <row r="3">
      <c r="C3" s="179"/>
      <c r="D3" s="66" t="s">
        <v>218</v>
      </c>
      <c r="I3" s="179"/>
      <c r="J3" s="179"/>
      <c r="K3" s="179"/>
      <c r="L3" s="179"/>
      <c r="M3" s="179"/>
      <c r="N3" s="179"/>
      <c r="O3" s="179"/>
      <c r="R3" s="179"/>
      <c r="S3" s="313" t="s">
        <v>219</v>
      </c>
      <c r="T3" s="314"/>
      <c r="U3" s="314"/>
      <c r="V3" s="314"/>
      <c r="W3" s="314"/>
      <c r="X3" s="314"/>
      <c r="Y3" s="314"/>
      <c r="Z3" s="314"/>
    </row>
    <row r="4">
      <c r="C4" s="179"/>
      <c r="D4" s="180" t="s">
        <v>47</v>
      </c>
      <c r="E4" s="45" t="str">
        <f>'set target form'!E4</f>
        <v>21PHY22</v>
      </c>
      <c r="F4" s="180" t="s">
        <v>49</v>
      </c>
      <c r="G4" s="181" t="str">
        <f>'set target form'!G4</f>
        <v>ENGINEERING PHYSICS</v>
      </c>
      <c r="H4" s="35"/>
      <c r="I4" s="35"/>
      <c r="J4" s="35"/>
      <c r="K4" s="2"/>
      <c r="L4" s="179"/>
      <c r="M4" s="179"/>
      <c r="N4" s="179"/>
      <c r="O4" s="179"/>
      <c r="R4" s="179"/>
      <c r="S4" s="180" t="s">
        <v>47</v>
      </c>
      <c r="T4" s="45" t="str">
        <f>'set target form'!E4</f>
        <v>21PHY22</v>
      </c>
      <c r="U4" s="180" t="s">
        <v>49</v>
      </c>
      <c r="V4" s="181" t="str">
        <f>'set target form'!G4</f>
        <v>ENGINEERING PHYSICS</v>
      </c>
      <c r="W4" s="35"/>
      <c r="X4" s="35"/>
      <c r="Y4" s="35"/>
      <c r="Z4" s="2"/>
    </row>
    <row r="5">
      <c r="C5" s="179"/>
      <c r="D5" s="315" t="s">
        <v>51</v>
      </c>
      <c r="E5" s="35"/>
      <c r="F5" s="35"/>
      <c r="G5" s="35"/>
      <c r="H5" s="35"/>
      <c r="I5" s="35"/>
      <c r="J5" s="35"/>
      <c r="K5" s="2"/>
      <c r="L5" s="179"/>
      <c r="M5" s="179"/>
      <c r="N5" s="179"/>
      <c r="O5" s="179"/>
      <c r="R5" s="179"/>
      <c r="S5" s="315" t="s">
        <v>51</v>
      </c>
      <c r="T5" s="35"/>
      <c r="U5" s="35"/>
      <c r="V5" s="35"/>
      <c r="W5" s="35"/>
      <c r="X5" s="35"/>
      <c r="Y5" s="35"/>
      <c r="Z5" s="2"/>
    </row>
    <row r="6">
      <c r="C6" s="179"/>
      <c r="D6" s="186" t="str">
        <f>'set target form'!D6</f>
        <v>Nithin H M</v>
      </c>
      <c r="E6" s="35"/>
      <c r="F6" s="35"/>
      <c r="G6" s="35"/>
      <c r="H6" s="35"/>
      <c r="I6" s="35"/>
      <c r="J6" s="35"/>
      <c r="K6" s="2"/>
      <c r="L6" s="179"/>
      <c r="M6" s="179"/>
      <c r="N6" s="179"/>
      <c r="O6" s="179"/>
      <c r="R6" s="179"/>
      <c r="S6" s="186" t="str">
        <f>'set target form'!D6</f>
        <v>Nithin H M</v>
      </c>
      <c r="T6" s="35"/>
      <c r="U6" s="35"/>
      <c r="V6" s="35"/>
      <c r="W6" s="35"/>
      <c r="X6" s="35"/>
      <c r="Y6" s="35"/>
      <c r="Z6" s="2"/>
    </row>
    <row r="7">
      <c r="C7" s="179"/>
      <c r="D7" s="315" t="s">
        <v>53</v>
      </c>
      <c r="E7" s="2"/>
      <c r="F7" s="99" t="str">
        <f>'set target form'!E7</f>
        <v>2021-22</v>
      </c>
      <c r="G7" s="2"/>
      <c r="H7" s="180" t="s">
        <v>55</v>
      </c>
      <c r="I7" s="93" t="str">
        <f>'set target form'!G7</f>
        <v>II</v>
      </c>
      <c r="J7" s="35"/>
      <c r="K7" s="2"/>
      <c r="L7" s="179"/>
      <c r="M7" s="179"/>
      <c r="N7" s="179"/>
      <c r="O7" s="179"/>
      <c r="R7" s="179"/>
      <c r="S7" s="315" t="s">
        <v>53</v>
      </c>
      <c r="T7" s="2"/>
      <c r="U7" s="99" t="str">
        <f>'set target form'!E7</f>
        <v>2021-22</v>
      </c>
      <c r="V7" s="2"/>
      <c r="W7" s="180" t="s">
        <v>55</v>
      </c>
      <c r="X7" s="93" t="str">
        <f>'set target form'!G7</f>
        <v>II</v>
      </c>
      <c r="Y7" s="35"/>
      <c r="Z7" s="2"/>
    </row>
    <row r="9" ht="15.75" customHeight="1">
      <c r="D9" s="316" t="s">
        <v>220</v>
      </c>
      <c r="E9" s="317" t="s">
        <v>221</v>
      </c>
      <c r="F9" s="318" t="s">
        <v>222</v>
      </c>
      <c r="G9" s="318" t="s">
        <v>223</v>
      </c>
      <c r="H9" s="319" t="s">
        <v>224</v>
      </c>
      <c r="I9" s="35"/>
      <c r="J9" s="35"/>
      <c r="K9" s="2"/>
      <c r="S9" s="320" t="s">
        <v>225</v>
      </c>
      <c r="T9" s="321" t="s">
        <v>226</v>
      </c>
      <c r="U9" s="2"/>
      <c r="V9" s="320" t="s">
        <v>227</v>
      </c>
      <c r="W9" s="322" t="s">
        <v>224</v>
      </c>
      <c r="X9" s="323"/>
      <c r="Y9" s="323"/>
      <c r="Z9" s="324"/>
    </row>
    <row r="10">
      <c r="D10" s="325" t="str">
        <f>'set target form'!E9</f>
        <v>CO1</v>
      </c>
      <c r="E10" s="326"/>
      <c r="F10" s="327" t="str">
        <f>'CO attainment'!N9</f>
        <v>#DIV/0!</v>
      </c>
      <c r="G10" s="328" t="str">
        <f t="shared" ref="G10:G14" si="1">F10-E10</f>
        <v>#DIV/0!</v>
      </c>
      <c r="H10" s="329"/>
      <c r="I10" s="314"/>
      <c r="J10" s="314"/>
      <c r="K10" s="195"/>
      <c r="S10" s="16"/>
      <c r="T10" s="330" t="s">
        <v>228</v>
      </c>
      <c r="U10" s="330" t="s">
        <v>229</v>
      </c>
      <c r="V10" s="16"/>
      <c r="W10" s="194"/>
      <c r="X10" s="314"/>
      <c r="Y10" s="314"/>
      <c r="Z10" s="195"/>
    </row>
    <row r="11" ht="67.5" customHeight="1">
      <c r="D11" s="325" t="str">
        <f>'set target form'!F9</f>
        <v>CO2</v>
      </c>
      <c r="E11" s="326"/>
      <c r="F11" s="327" t="str">
        <f>'CO attainment'!N10</f>
        <v>#DIV/0!</v>
      </c>
      <c r="G11" s="328" t="str">
        <f t="shared" si="1"/>
        <v>#DIV/0!</v>
      </c>
      <c r="H11" s="329"/>
      <c r="I11" s="314"/>
      <c r="J11" s="314"/>
      <c r="K11" s="195"/>
      <c r="S11" s="280" t="str">
        <f>'set target form'!E9</f>
        <v>CO1</v>
      </c>
      <c r="T11" s="331"/>
      <c r="U11" s="332" t="str">
        <f t="shared" ref="U11:U14" si="2">#REF!</f>
        <v>#REF!</v>
      </c>
      <c r="V11" s="333" t="str">
        <f t="shared" ref="V11:V14" si="3">(U11-T11)</f>
        <v>#REF!</v>
      </c>
      <c r="W11" s="334"/>
      <c r="X11" s="35"/>
      <c r="Y11" s="35"/>
      <c r="Z11" s="2"/>
    </row>
    <row r="12" ht="68.25" customHeight="1">
      <c r="D12" s="325" t="str">
        <f>'set target form'!G9</f>
        <v>CO3</v>
      </c>
      <c r="E12" s="326"/>
      <c r="F12" s="327" t="str">
        <f>'CO attainment'!N11</f>
        <v>#DIV/0!</v>
      </c>
      <c r="G12" s="328" t="str">
        <f t="shared" si="1"/>
        <v>#DIV/0!</v>
      </c>
      <c r="H12" s="329"/>
      <c r="I12" s="314"/>
      <c r="J12" s="314"/>
      <c r="K12" s="195"/>
      <c r="S12" s="280" t="str">
        <f>'set target form'!F9</f>
        <v>CO2</v>
      </c>
      <c r="T12" s="331"/>
      <c r="U12" s="332" t="str">
        <f t="shared" si="2"/>
        <v>#REF!</v>
      </c>
      <c r="V12" s="333" t="str">
        <f t="shared" si="3"/>
        <v>#REF!</v>
      </c>
      <c r="W12" s="334"/>
      <c r="X12" s="35"/>
      <c r="Y12" s="35"/>
      <c r="Z12" s="2"/>
    </row>
    <row r="13" ht="67.5" customHeight="1">
      <c r="D13" s="325" t="str">
        <f>'set target form'!H9</f>
        <v>CO4</v>
      </c>
      <c r="E13" s="326"/>
      <c r="F13" s="327" t="str">
        <f>'CO attainment'!N12</f>
        <v>#DIV/0!</v>
      </c>
      <c r="G13" s="328" t="str">
        <f t="shared" si="1"/>
        <v>#DIV/0!</v>
      </c>
      <c r="H13" s="329"/>
      <c r="I13" s="314"/>
      <c r="J13" s="314"/>
      <c r="K13" s="195"/>
      <c r="S13" s="280" t="str">
        <f>'set target form'!G9</f>
        <v>CO3</v>
      </c>
      <c r="T13" s="331"/>
      <c r="U13" s="332" t="str">
        <f t="shared" si="2"/>
        <v>#REF!</v>
      </c>
      <c r="V13" s="333" t="str">
        <f t="shared" si="3"/>
        <v>#REF!</v>
      </c>
      <c r="W13" s="334"/>
      <c r="X13" s="35"/>
      <c r="Y13" s="35"/>
      <c r="Z13" s="2"/>
    </row>
    <row r="14" ht="66.0" customHeight="1">
      <c r="D14" s="325" t="str">
        <f>'set target form'!I9</f>
        <v>CO5</v>
      </c>
      <c r="E14" s="326"/>
      <c r="F14" s="327" t="str">
        <f>'CO attainment'!N13</f>
        <v>#DIV/0!</v>
      </c>
      <c r="G14" s="328" t="str">
        <f t="shared" si="1"/>
        <v>#DIV/0!</v>
      </c>
      <c r="H14" s="329"/>
      <c r="I14" s="314"/>
      <c r="J14" s="314"/>
      <c r="K14" s="195"/>
      <c r="S14" s="280" t="str">
        <f>'set target form'!H9</f>
        <v>CO4</v>
      </c>
      <c r="T14" s="331"/>
      <c r="U14" s="332" t="str">
        <f t="shared" si="2"/>
        <v>#REF!</v>
      </c>
      <c r="V14" s="333" t="str">
        <f t="shared" si="3"/>
        <v>#REF!</v>
      </c>
      <c r="W14" s="334"/>
      <c r="X14" s="35"/>
      <c r="Y14" s="35"/>
      <c r="Z14" s="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2">
    <mergeCell ref="S5:Z5"/>
    <mergeCell ref="S6:Z6"/>
    <mergeCell ref="S7:T7"/>
    <mergeCell ref="U7:V7"/>
    <mergeCell ref="X7:Z7"/>
    <mergeCell ref="D1:I1"/>
    <mergeCell ref="S1:Z1"/>
    <mergeCell ref="D2:H2"/>
    <mergeCell ref="S2:Z2"/>
    <mergeCell ref="D3:H3"/>
    <mergeCell ref="S3:Z3"/>
    <mergeCell ref="V4:Z4"/>
    <mergeCell ref="H9:K9"/>
    <mergeCell ref="H10:K10"/>
    <mergeCell ref="H11:K11"/>
    <mergeCell ref="H12:K12"/>
    <mergeCell ref="H13:K13"/>
    <mergeCell ref="H14:K14"/>
    <mergeCell ref="G4:K4"/>
    <mergeCell ref="D5:K5"/>
    <mergeCell ref="D6:K6"/>
    <mergeCell ref="D7:E7"/>
    <mergeCell ref="F7:G7"/>
    <mergeCell ref="I7:K7"/>
    <mergeCell ref="W12:Z12"/>
    <mergeCell ref="W13:Z13"/>
    <mergeCell ref="W14:Z14"/>
    <mergeCell ref="S9:S10"/>
    <mergeCell ref="T9:U9"/>
    <mergeCell ref="V9:V10"/>
    <mergeCell ref="W9:Z10"/>
    <mergeCell ref="W11:Z11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1.86"/>
    <col customWidth="1" min="4" max="4" width="17.43"/>
    <col customWidth="1" min="5" max="5" width="16.86"/>
    <col customWidth="1" min="6" max="6" width="17.71"/>
    <col customWidth="1" min="7" max="7" width="17.43"/>
    <col customWidth="1" min="8" max="8" width="12.86"/>
    <col customWidth="1" min="9" max="9" width="74.14"/>
    <col customWidth="1" min="10" max="10" width="14.14"/>
    <col customWidth="1" min="11" max="11" width="13.57"/>
    <col customWidth="1" min="12" max="12" width="12.86"/>
    <col customWidth="1" min="13" max="13" width="15.14"/>
    <col customWidth="1" min="14" max="14" width="14.57"/>
    <col customWidth="1" min="15" max="15" width="13.14"/>
    <col customWidth="1" min="16" max="16" width="15.29"/>
    <col customWidth="1" min="17" max="17" width="19.71"/>
    <col customWidth="1" min="18" max="18" width="13.14"/>
    <col customWidth="1" min="19" max="19" width="13.86"/>
    <col customWidth="1" min="20" max="20" width="15.57"/>
    <col customWidth="1" min="21" max="23" width="8.71"/>
    <col customWidth="1" min="24" max="24" width="54.29"/>
    <col customWidth="1" min="25" max="26" width="8.71"/>
  </cols>
  <sheetData>
    <row r="1" ht="20.25" customHeight="1">
      <c r="B1" s="28" t="s">
        <v>44</v>
      </c>
      <c r="J1" s="273"/>
      <c r="K1" s="273"/>
      <c r="L1" s="273"/>
      <c r="M1" s="273"/>
      <c r="N1" s="273"/>
      <c r="Q1" s="28" t="s">
        <v>44</v>
      </c>
    </row>
    <row r="2" ht="18.75" customHeight="1">
      <c r="B2" s="28" t="str">
        <f>'set target form'!E2</f>
        <v>DEPARTMENT OF PHYSICS</v>
      </c>
      <c r="J2" s="273"/>
      <c r="K2" s="273"/>
      <c r="L2" s="273"/>
      <c r="M2" s="273"/>
      <c r="N2" s="273"/>
      <c r="Q2" s="28" t="str">
        <f>'set target form'!E2</f>
        <v>DEPARTMENT OF PHYSICS</v>
      </c>
    </row>
    <row r="3">
      <c r="C3" s="335" t="s">
        <v>230</v>
      </c>
      <c r="D3" s="336"/>
      <c r="E3" s="336"/>
      <c r="F3" s="336"/>
      <c r="G3" s="336"/>
      <c r="H3" s="336"/>
      <c r="I3" s="336"/>
      <c r="J3" s="21"/>
      <c r="K3" s="179"/>
      <c r="L3" s="179"/>
      <c r="M3" s="179"/>
      <c r="N3" s="179"/>
      <c r="Q3" s="290" t="s">
        <v>231</v>
      </c>
    </row>
    <row r="4"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P4" s="66"/>
      <c r="Q4" s="66"/>
      <c r="R4" s="66"/>
      <c r="S4" s="66"/>
      <c r="T4" s="66"/>
      <c r="U4" s="66"/>
      <c r="V4" s="66"/>
      <c r="W4" s="66"/>
      <c r="X4" s="66"/>
    </row>
    <row r="5" ht="30.0" customHeight="1">
      <c r="B5" s="66"/>
      <c r="C5" s="337" t="s">
        <v>47</v>
      </c>
      <c r="D5" s="111" t="str">
        <f>'set target form'!E4</f>
        <v>21PHY22</v>
      </c>
      <c r="E5" s="337" t="s">
        <v>49</v>
      </c>
      <c r="F5" s="338" t="str">
        <f>'set target form'!G4</f>
        <v>ENGINEERING PHYSICS</v>
      </c>
      <c r="G5" s="35"/>
      <c r="H5" s="35"/>
      <c r="I5" s="35"/>
      <c r="J5" s="2"/>
      <c r="K5" s="66"/>
      <c r="L5" s="66"/>
      <c r="M5" s="66"/>
      <c r="N5" s="66"/>
      <c r="P5" s="66"/>
      <c r="Q5" s="337" t="s">
        <v>47</v>
      </c>
      <c r="R5" s="111" t="str">
        <f>'set target form'!E4</f>
        <v>21PHY22</v>
      </c>
      <c r="S5" s="337" t="s">
        <v>49</v>
      </c>
      <c r="T5" s="338" t="str">
        <f>'set target form'!G4</f>
        <v>ENGINEERING PHYSICS</v>
      </c>
      <c r="U5" s="35"/>
      <c r="V5" s="35"/>
      <c r="W5" s="35"/>
      <c r="X5" s="2"/>
    </row>
    <row r="6" ht="33.0" customHeight="1">
      <c r="B6" s="66"/>
      <c r="C6" s="339" t="s">
        <v>51</v>
      </c>
      <c r="D6" s="2"/>
      <c r="E6" s="339" t="str">
        <f>'set target form'!D6</f>
        <v>Nithin H M</v>
      </c>
      <c r="F6" s="35"/>
      <c r="G6" s="35"/>
      <c r="H6" s="35"/>
      <c r="I6" s="35"/>
      <c r="J6" s="2"/>
      <c r="K6" s="66"/>
      <c r="L6" s="66"/>
      <c r="M6" s="66"/>
      <c r="N6" s="66"/>
      <c r="P6" s="66"/>
      <c r="Q6" s="339" t="s">
        <v>51</v>
      </c>
      <c r="R6" s="2"/>
      <c r="S6" s="339" t="str">
        <f>'set target form'!D6</f>
        <v>Nithin H M</v>
      </c>
      <c r="T6" s="35"/>
      <c r="U6" s="35"/>
      <c r="V6" s="35"/>
      <c r="W6" s="35"/>
      <c r="X6" s="2"/>
    </row>
    <row r="7" ht="33.0" customHeight="1">
      <c r="C7" s="337" t="s">
        <v>53</v>
      </c>
      <c r="D7" s="340" t="str">
        <f>'set target form'!E7</f>
        <v>2021-22</v>
      </c>
      <c r="E7" s="35"/>
      <c r="F7" s="2"/>
      <c r="G7" s="337" t="s">
        <v>55</v>
      </c>
      <c r="H7" s="340" t="str">
        <f>'set target form'!G7</f>
        <v>II</v>
      </c>
      <c r="I7" s="35"/>
      <c r="J7" s="2"/>
      <c r="K7" s="159"/>
      <c r="L7" s="159"/>
      <c r="M7" s="159"/>
      <c r="N7" s="159"/>
      <c r="Q7" s="337" t="s">
        <v>53</v>
      </c>
      <c r="R7" s="340" t="str">
        <f>'set target form'!E7</f>
        <v>2021-22</v>
      </c>
      <c r="S7" s="35"/>
      <c r="T7" s="2"/>
      <c r="U7" s="337" t="s">
        <v>55</v>
      </c>
      <c r="V7" s="340" t="str">
        <f>'set target form'!G7</f>
        <v>II</v>
      </c>
      <c r="W7" s="35"/>
      <c r="X7" s="2"/>
    </row>
    <row r="8" ht="23.25" customHeight="1"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Q8" s="19"/>
      <c r="R8" s="19"/>
      <c r="S8" s="19"/>
      <c r="T8" s="19"/>
      <c r="U8" s="19"/>
      <c r="V8" s="19"/>
      <c r="W8" s="19"/>
      <c r="X8" s="19"/>
    </row>
    <row r="9" ht="35.25" customHeight="1">
      <c r="C9" s="341" t="s">
        <v>232</v>
      </c>
      <c r="D9" s="342" t="s">
        <v>233</v>
      </c>
      <c r="E9" s="342" t="s">
        <v>234</v>
      </c>
      <c r="F9" s="342" t="s">
        <v>235</v>
      </c>
      <c r="G9" s="322" t="s">
        <v>224</v>
      </c>
      <c r="H9" s="323"/>
      <c r="I9" s="323"/>
      <c r="J9" s="324"/>
      <c r="K9" s="19"/>
      <c r="L9" s="19"/>
      <c r="M9" s="19"/>
      <c r="N9" s="19"/>
      <c r="Q9" s="341" t="s">
        <v>232</v>
      </c>
      <c r="R9" s="342" t="s">
        <v>236</v>
      </c>
      <c r="S9" s="342" t="s">
        <v>237</v>
      </c>
      <c r="T9" s="342" t="s">
        <v>235</v>
      </c>
      <c r="U9" s="322" t="s">
        <v>224</v>
      </c>
      <c r="V9" s="323"/>
      <c r="W9" s="323"/>
      <c r="X9" s="324"/>
    </row>
    <row r="10" ht="30.0" customHeight="1">
      <c r="C10" s="16"/>
      <c r="D10" s="16"/>
      <c r="E10" s="16"/>
      <c r="F10" s="16"/>
      <c r="G10" s="194"/>
      <c r="H10" s="314"/>
      <c r="I10" s="314"/>
      <c r="J10" s="195"/>
      <c r="K10" s="343"/>
      <c r="L10" s="343"/>
      <c r="M10" s="343"/>
      <c r="N10" s="343"/>
      <c r="Q10" s="16"/>
      <c r="R10" s="16"/>
      <c r="S10" s="16"/>
      <c r="T10" s="16"/>
      <c r="U10" s="194"/>
      <c r="V10" s="314"/>
      <c r="W10" s="314"/>
      <c r="X10" s="195"/>
    </row>
    <row r="11" ht="64.5" customHeight="1">
      <c r="C11" s="344" t="s">
        <v>203</v>
      </c>
      <c r="D11" s="345"/>
      <c r="E11" s="60" t="str">
        <f t="shared" ref="E11:E24" si="1">#REF!</f>
        <v>#REF!</v>
      </c>
      <c r="F11" s="346" t="str">
        <f t="shared" ref="F11:F26" si="2">E11-D11</f>
        <v>#REF!</v>
      </c>
      <c r="G11" s="347"/>
      <c r="H11" s="35"/>
      <c r="I11" s="35"/>
      <c r="J11" s="2"/>
      <c r="Q11" s="344" t="s">
        <v>203</v>
      </c>
      <c r="R11" s="345"/>
      <c r="S11" s="60" t="str">
        <f t="shared" ref="S11:S24" si="3">#REF!</f>
        <v>#REF!</v>
      </c>
      <c r="T11" s="346" t="str">
        <f t="shared" ref="T11:T26" si="4">S11-R11</f>
        <v>#REF!</v>
      </c>
      <c r="U11" s="347"/>
      <c r="V11" s="35"/>
      <c r="W11" s="35"/>
      <c r="X11" s="2"/>
    </row>
    <row r="12" ht="56.25" customHeight="1">
      <c r="C12" s="344" t="s">
        <v>204</v>
      </c>
      <c r="D12" s="345"/>
      <c r="E12" s="60" t="str">
        <f t="shared" si="1"/>
        <v>#REF!</v>
      </c>
      <c r="F12" s="346" t="str">
        <f t="shared" si="2"/>
        <v>#REF!</v>
      </c>
      <c r="G12" s="347"/>
      <c r="H12" s="35"/>
      <c r="I12" s="35"/>
      <c r="J12" s="2"/>
      <c r="Q12" s="344" t="s">
        <v>204</v>
      </c>
      <c r="R12" s="345"/>
      <c r="S12" s="60" t="str">
        <f t="shared" si="3"/>
        <v>#REF!</v>
      </c>
      <c r="T12" s="346" t="str">
        <f t="shared" si="4"/>
        <v>#REF!</v>
      </c>
      <c r="U12" s="347"/>
      <c r="V12" s="35"/>
      <c r="W12" s="35"/>
      <c r="X12" s="2"/>
    </row>
    <row r="13" ht="50.25" customHeight="1">
      <c r="C13" s="344" t="s">
        <v>205</v>
      </c>
      <c r="D13" s="345"/>
      <c r="E13" s="60" t="str">
        <f t="shared" si="1"/>
        <v>#REF!</v>
      </c>
      <c r="F13" s="346" t="str">
        <f t="shared" si="2"/>
        <v>#REF!</v>
      </c>
      <c r="G13" s="348"/>
      <c r="H13" s="35"/>
      <c r="I13" s="35"/>
      <c r="J13" s="2"/>
      <c r="Q13" s="344" t="s">
        <v>205</v>
      </c>
      <c r="R13" s="345"/>
      <c r="S13" s="60" t="str">
        <f t="shared" si="3"/>
        <v>#REF!</v>
      </c>
      <c r="T13" s="346" t="str">
        <f t="shared" si="4"/>
        <v>#REF!</v>
      </c>
      <c r="U13" s="347"/>
      <c r="V13" s="35"/>
      <c r="W13" s="35"/>
      <c r="X13" s="2"/>
    </row>
    <row r="14" ht="52.5" customHeight="1">
      <c r="C14" s="344" t="s">
        <v>206</v>
      </c>
      <c r="D14" s="349"/>
      <c r="E14" s="60" t="str">
        <f t="shared" si="1"/>
        <v>#REF!</v>
      </c>
      <c r="F14" s="346" t="str">
        <f t="shared" si="2"/>
        <v>#REF!</v>
      </c>
      <c r="G14" s="350"/>
      <c r="H14" s="35"/>
      <c r="I14" s="35"/>
      <c r="J14" s="2"/>
      <c r="K14" s="343"/>
      <c r="L14" s="343"/>
      <c r="M14" s="343"/>
      <c r="N14" s="343"/>
      <c r="Q14" s="344" t="s">
        <v>206</v>
      </c>
      <c r="R14" s="345"/>
      <c r="S14" s="60" t="str">
        <f t="shared" si="3"/>
        <v>#REF!</v>
      </c>
      <c r="T14" s="346" t="str">
        <f t="shared" si="4"/>
        <v>#REF!</v>
      </c>
      <c r="U14" s="347"/>
      <c r="V14" s="35"/>
      <c r="W14" s="35"/>
      <c r="X14" s="2"/>
    </row>
    <row r="15" ht="51.0" customHeight="1">
      <c r="C15" s="344" t="s">
        <v>207</v>
      </c>
      <c r="D15" s="345"/>
      <c r="E15" s="60" t="str">
        <f t="shared" si="1"/>
        <v>#REF!</v>
      </c>
      <c r="F15" s="346" t="str">
        <f t="shared" si="2"/>
        <v>#REF!</v>
      </c>
      <c r="G15" s="347"/>
      <c r="H15" s="35"/>
      <c r="I15" s="35"/>
      <c r="J15" s="2"/>
      <c r="Q15" s="344" t="s">
        <v>207</v>
      </c>
      <c r="R15" s="345"/>
      <c r="S15" s="60" t="str">
        <f t="shared" si="3"/>
        <v>#REF!</v>
      </c>
      <c r="T15" s="346" t="str">
        <f t="shared" si="4"/>
        <v>#REF!</v>
      </c>
      <c r="U15" s="347"/>
      <c r="V15" s="35"/>
      <c r="W15" s="35"/>
      <c r="X15" s="2"/>
    </row>
    <row r="16" ht="60.0" customHeight="1">
      <c r="C16" s="344" t="s">
        <v>208</v>
      </c>
      <c r="D16" s="345"/>
      <c r="E16" s="60" t="str">
        <f t="shared" si="1"/>
        <v>#REF!</v>
      </c>
      <c r="F16" s="346" t="str">
        <f t="shared" si="2"/>
        <v>#REF!</v>
      </c>
      <c r="G16" s="347"/>
      <c r="H16" s="35"/>
      <c r="I16" s="35"/>
      <c r="J16" s="2"/>
      <c r="Q16" s="344" t="s">
        <v>208</v>
      </c>
      <c r="R16" s="345"/>
      <c r="S16" s="60" t="str">
        <f t="shared" si="3"/>
        <v>#REF!</v>
      </c>
      <c r="T16" s="346" t="str">
        <f t="shared" si="4"/>
        <v>#REF!</v>
      </c>
      <c r="U16" s="347"/>
      <c r="V16" s="35"/>
      <c r="W16" s="35"/>
      <c r="X16" s="2"/>
    </row>
    <row r="17" ht="49.5" customHeight="1">
      <c r="C17" s="344" t="s">
        <v>209</v>
      </c>
      <c r="D17" s="345"/>
      <c r="E17" s="60" t="str">
        <f t="shared" si="1"/>
        <v>#REF!</v>
      </c>
      <c r="F17" s="346" t="str">
        <f t="shared" si="2"/>
        <v>#REF!</v>
      </c>
      <c r="G17" s="347"/>
      <c r="H17" s="35"/>
      <c r="I17" s="35"/>
      <c r="J17" s="2"/>
      <c r="Q17" s="344" t="s">
        <v>209</v>
      </c>
      <c r="R17" s="345"/>
      <c r="S17" s="60" t="str">
        <f t="shared" si="3"/>
        <v>#REF!</v>
      </c>
      <c r="T17" s="346" t="str">
        <f t="shared" si="4"/>
        <v>#REF!</v>
      </c>
      <c r="U17" s="347"/>
      <c r="V17" s="35"/>
      <c r="W17" s="35"/>
      <c r="X17" s="2"/>
    </row>
    <row r="18" ht="51.0" customHeight="1">
      <c r="C18" s="344" t="s">
        <v>210</v>
      </c>
      <c r="D18" s="345"/>
      <c r="E18" s="60" t="str">
        <f t="shared" si="1"/>
        <v>#REF!</v>
      </c>
      <c r="F18" s="346" t="str">
        <f t="shared" si="2"/>
        <v>#REF!</v>
      </c>
      <c r="G18" s="347"/>
      <c r="H18" s="35"/>
      <c r="I18" s="35"/>
      <c r="J18" s="2"/>
      <c r="Q18" s="344" t="s">
        <v>210</v>
      </c>
      <c r="R18" s="345"/>
      <c r="S18" s="60" t="str">
        <f t="shared" si="3"/>
        <v>#REF!</v>
      </c>
      <c r="T18" s="346" t="str">
        <f t="shared" si="4"/>
        <v>#REF!</v>
      </c>
      <c r="U18" s="347"/>
      <c r="V18" s="35"/>
      <c r="W18" s="35"/>
      <c r="X18" s="2"/>
    </row>
    <row r="19" ht="49.5" customHeight="1">
      <c r="C19" s="344" t="s">
        <v>211</v>
      </c>
      <c r="D19" s="345"/>
      <c r="E19" s="60" t="str">
        <f t="shared" si="1"/>
        <v>#REF!</v>
      </c>
      <c r="F19" s="346" t="str">
        <f t="shared" si="2"/>
        <v>#REF!</v>
      </c>
      <c r="G19" s="347"/>
      <c r="H19" s="35"/>
      <c r="I19" s="35"/>
      <c r="J19" s="2"/>
      <c r="Q19" s="344" t="s">
        <v>211</v>
      </c>
      <c r="R19" s="345"/>
      <c r="S19" s="60" t="str">
        <f t="shared" si="3"/>
        <v>#REF!</v>
      </c>
      <c r="T19" s="346" t="str">
        <f t="shared" si="4"/>
        <v>#REF!</v>
      </c>
      <c r="U19" s="347"/>
      <c r="V19" s="35"/>
      <c r="W19" s="35"/>
      <c r="X19" s="2"/>
    </row>
    <row r="20" ht="60.0" customHeight="1">
      <c r="C20" s="344" t="s">
        <v>212</v>
      </c>
      <c r="D20" s="345"/>
      <c r="E20" s="60" t="str">
        <f t="shared" si="1"/>
        <v>#REF!</v>
      </c>
      <c r="F20" s="346" t="str">
        <f t="shared" si="2"/>
        <v>#REF!</v>
      </c>
      <c r="G20" s="347"/>
      <c r="H20" s="35"/>
      <c r="I20" s="35"/>
      <c r="J20" s="2"/>
      <c r="Q20" s="344" t="s">
        <v>212</v>
      </c>
      <c r="R20" s="345"/>
      <c r="S20" s="60" t="str">
        <f t="shared" si="3"/>
        <v>#REF!</v>
      </c>
      <c r="T20" s="346" t="str">
        <f t="shared" si="4"/>
        <v>#REF!</v>
      </c>
      <c r="U20" s="347"/>
      <c r="V20" s="35"/>
      <c r="W20" s="35"/>
      <c r="X20" s="2"/>
    </row>
    <row r="21" ht="54.0" customHeight="1">
      <c r="C21" s="344" t="s">
        <v>213</v>
      </c>
      <c r="D21" s="345"/>
      <c r="E21" s="60" t="str">
        <f t="shared" si="1"/>
        <v>#REF!</v>
      </c>
      <c r="F21" s="346" t="str">
        <f t="shared" si="2"/>
        <v>#REF!</v>
      </c>
      <c r="G21" s="347"/>
      <c r="H21" s="35"/>
      <c r="I21" s="35"/>
      <c r="J21" s="2"/>
      <c r="Q21" s="344" t="s">
        <v>213</v>
      </c>
      <c r="R21" s="345"/>
      <c r="S21" s="60" t="str">
        <f t="shared" si="3"/>
        <v>#REF!</v>
      </c>
      <c r="T21" s="346" t="str">
        <f t="shared" si="4"/>
        <v>#REF!</v>
      </c>
      <c r="U21" s="347"/>
      <c r="V21" s="35"/>
      <c r="W21" s="35"/>
      <c r="X21" s="2"/>
    </row>
    <row r="22" ht="57.0" customHeight="1">
      <c r="C22" s="344" t="s">
        <v>214</v>
      </c>
      <c r="D22" s="345"/>
      <c r="E22" s="60" t="str">
        <f t="shared" si="1"/>
        <v>#REF!</v>
      </c>
      <c r="F22" s="346" t="str">
        <f t="shared" si="2"/>
        <v>#REF!</v>
      </c>
      <c r="G22" s="347"/>
      <c r="H22" s="35"/>
      <c r="I22" s="35"/>
      <c r="J22" s="2"/>
      <c r="Q22" s="344" t="s">
        <v>214</v>
      </c>
      <c r="R22" s="345"/>
      <c r="S22" s="60" t="str">
        <f t="shared" si="3"/>
        <v>#REF!</v>
      </c>
      <c r="T22" s="346" t="str">
        <f t="shared" si="4"/>
        <v>#REF!</v>
      </c>
      <c r="U22" s="347"/>
      <c r="V22" s="35"/>
      <c r="W22" s="35"/>
      <c r="X22" s="2"/>
    </row>
    <row r="23" ht="60.75" customHeight="1">
      <c r="C23" s="344" t="s">
        <v>215</v>
      </c>
      <c r="D23" s="345"/>
      <c r="E23" s="60" t="str">
        <f t="shared" si="1"/>
        <v>#REF!</v>
      </c>
      <c r="F23" s="346" t="str">
        <f t="shared" si="2"/>
        <v>#REF!</v>
      </c>
      <c r="G23" s="347"/>
      <c r="H23" s="35"/>
      <c r="I23" s="35"/>
      <c r="J23" s="2"/>
      <c r="Q23" s="344" t="s">
        <v>215</v>
      </c>
      <c r="R23" s="345"/>
      <c r="S23" s="60" t="str">
        <f t="shared" si="3"/>
        <v>#REF!</v>
      </c>
      <c r="T23" s="346" t="str">
        <f t="shared" si="4"/>
        <v>#REF!</v>
      </c>
      <c r="U23" s="347"/>
      <c r="V23" s="35"/>
      <c r="W23" s="35"/>
      <c r="X23" s="2"/>
    </row>
    <row r="24" ht="57.75" customHeight="1">
      <c r="C24" s="344" t="s">
        <v>216</v>
      </c>
      <c r="D24" s="345"/>
      <c r="E24" s="60" t="str">
        <f t="shared" si="1"/>
        <v>#REF!</v>
      </c>
      <c r="F24" s="346" t="str">
        <f t="shared" si="2"/>
        <v>#REF!</v>
      </c>
      <c r="G24" s="347"/>
      <c r="H24" s="35"/>
      <c r="I24" s="35"/>
      <c r="J24" s="2"/>
      <c r="Q24" s="344" t="s">
        <v>216</v>
      </c>
      <c r="R24" s="345"/>
      <c r="S24" s="60" t="str">
        <f t="shared" si="3"/>
        <v>#REF!</v>
      </c>
      <c r="T24" s="346" t="str">
        <f t="shared" si="4"/>
        <v>#REF!</v>
      </c>
      <c r="U24" s="347"/>
      <c r="V24" s="35"/>
      <c r="W24" s="35"/>
      <c r="X24" s="2"/>
    </row>
    <row r="25" ht="45.75" customHeight="1">
      <c r="C25" s="344" t="s">
        <v>238</v>
      </c>
      <c r="D25" s="60" t="str">
        <f t="shared" ref="D25:E25" si="5">SUM(D11:D22)/COUNT(D11:D24)</f>
        <v>#DIV/0!</v>
      </c>
      <c r="E25" s="60" t="str">
        <f t="shared" si="5"/>
        <v>#REF!</v>
      </c>
      <c r="F25" s="346" t="str">
        <f t="shared" si="2"/>
        <v>#REF!</v>
      </c>
      <c r="G25" s="287"/>
      <c r="H25" s="35"/>
      <c r="I25" s="35"/>
      <c r="J25" s="2"/>
      <c r="Q25" s="344" t="s">
        <v>238</v>
      </c>
      <c r="R25" s="60" t="str">
        <f>SUM(R11:R24)/COUNT(R11:R22)</f>
        <v>#DIV/0!</v>
      </c>
      <c r="S25" s="60" t="str">
        <f>SUM(S11:S22)/COUNT(S11:S24)</f>
        <v>#REF!</v>
      </c>
      <c r="T25" s="346" t="str">
        <f t="shared" si="4"/>
        <v>#REF!</v>
      </c>
      <c r="U25" s="287"/>
      <c r="V25" s="35"/>
      <c r="W25" s="35"/>
      <c r="X25" s="2"/>
    </row>
    <row r="26" ht="45.75" customHeight="1">
      <c r="C26" s="344" t="s">
        <v>239</v>
      </c>
      <c r="D26" s="60">
        <f t="shared" ref="D26:E26" si="6">SUM(D23:D24)/2</f>
        <v>0</v>
      </c>
      <c r="E26" s="60" t="str">
        <f t="shared" si="6"/>
        <v>#REF!</v>
      </c>
      <c r="F26" s="346" t="str">
        <f t="shared" si="2"/>
        <v>#REF!</v>
      </c>
      <c r="G26" s="287"/>
      <c r="H26" s="35"/>
      <c r="I26" s="35"/>
      <c r="J26" s="2"/>
      <c r="Q26" s="344" t="s">
        <v>239</v>
      </c>
      <c r="R26" s="60">
        <f t="shared" ref="R26:S26" si="7">SUM(R23:R24)/2</f>
        <v>0</v>
      </c>
      <c r="S26" s="60" t="str">
        <f t="shared" si="7"/>
        <v>#REF!</v>
      </c>
      <c r="T26" s="346" t="str">
        <f t="shared" si="4"/>
        <v>#REF!</v>
      </c>
      <c r="U26" s="287"/>
      <c r="V26" s="35"/>
      <c r="W26" s="35"/>
      <c r="X26" s="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U22:X22"/>
    <mergeCell ref="U23:X23"/>
    <mergeCell ref="U26:X26"/>
    <mergeCell ref="U15:X15"/>
    <mergeCell ref="U16:X16"/>
    <mergeCell ref="U17:X17"/>
    <mergeCell ref="U18:X18"/>
    <mergeCell ref="U19:X19"/>
    <mergeCell ref="U20:X20"/>
    <mergeCell ref="U21:X21"/>
    <mergeCell ref="G25:J25"/>
    <mergeCell ref="G26:J26"/>
    <mergeCell ref="G18:J18"/>
    <mergeCell ref="G19:J19"/>
    <mergeCell ref="G20:J20"/>
    <mergeCell ref="G21:J21"/>
    <mergeCell ref="G22:J22"/>
    <mergeCell ref="G23:J23"/>
    <mergeCell ref="G24:J24"/>
    <mergeCell ref="B1:I1"/>
    <mergeCell ref="Q1:X1"/>
    <mergeCell ref="B2:I2"/>
    <mergeCell ref="Q2:X2"/>
    <mergeCell ref="C3:J3"/>
    <mergeCell ref="Q3:X3"/>
    <mergeCell ref="T5:X5"/>
    <mergeCell ref="R7:T7"/>
    <mergeCell ref="V7:X7"/>
    <mergeCell ref="F5:J5"/>
    <mergeCell ref="C6:D6"/>
    <mergeCell ref="E6:J6"/>
    <mergeCell ref="Q6:R6"/>
    <mergeCell ref="S6:X6"/>
    <mergeCell ref="D7:F7"/>
    <mergeCell ref="H7:J7"/>
    <mergeCell ref="C9:C10"/>
    <mergeCell ref="D9:D10"/>
    <mergeCell ref="E9:E10"/>
    <mergeCell ref="F9:F10"/>
    <mergeCell ref="G9:J10"/>
    <mergeCell ref="Q9:Q10"/>
    <mergeCell ref="R9:R10"/>
    <mergeCell ref="G11:J11"/>
    <mergeCell ref="G12:J12"/>
    <mergeCell ref="G13:J13"/>
    <mergeCell ref="G14:J14"/>
    <mergeCell ref="G15:J15"/>
    <mergeCell ref="G16:J16"/>
    <mergeCell ref="G17:J17"/>
    <mergeCell ref="U24:X24"/>
    <mergeCell ref="U25:X25"/>
    <mergeCell ref="S9:S10"/>
    <mergeCell ref="T9:T10"/>
    <mergeCell ref="U9:X10"/>
    <mergeCell ref="U11:X11"/>
    <mergeCell ref="U12:X12"/>
    <mergeCell ref="U13:X13"/>
    <mergeCell ref="U14:X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